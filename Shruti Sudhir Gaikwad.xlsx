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3.xml" ContentType="application/vnd.openxmlformats-officedocument.drawing+xml"/>
  <Override PartName="/xl/pivotTables/pivotTable8.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9.xml" ContentType="application/vnd.openxmlformats-officedocument.spreadsheetml.pivotTable+xml"/>
  <Override PartName="/xl/drawings/drawing5.xml" ContentType="application/vnd.openxmlformats-officedocument.drawing+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10.xml" ContentType="application/vnd.openxmlformats-officedocument.spreadsheetml.pivotTable+xml"/>
  <Override PartName="/xl/drawings/drawing6.xml" ContentType="application/vnd.openxmlformats-officedocument.drawing+xml"/>
  <Override PartName="/xl/slicers/slicer4.xml" ContentType="application/vnd.ms-excel.slicer+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11.xml" ContentType="application/vnd.openxmlformats-officedocument.spreadsheetml.pivotTable+xml"/>
  <Override PartName="/xl/drawings/drawing7.xml" ContentType="application/vnd.openxmlformats-officedocument.drawing+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Admin\Downloads\"/>
    </mc:Choice>
  </mc:AlternateContent>
  <xr:revisionPtr revIDLastSave="0" documentId="8_{1D4C148D-C28E-4373-A000-4A6D98C3B579}" xr6:coauthVersionLast="47" xr6:coauthVersionMax="47" xr10:uidLastSave="{00000000-0000-0000-0000-000000000000}"/>
  <bookViews>
    <workbookView xWindow="-108" yWindow="-108" windowWidth="23256" windowHeight="12456" firstSheet="1" activeTab="1" xr2:uid="{0A0D8D68-EFC2-4074-BDCA-85DAF874A3F1}"/>
  </bookViews>
  <sheets>
    <sheet name="Analysis" sheetId="3" r:id="rId1"/>
    <sheet name="1Dashboard" sheetId="9" r:id="rId2"/>
    <sheet name="report" sheetId="12" r:id="rId3"/>
    <sheet name="Sheet1" sheetId="5" r:id="rId4"/>
    <sheet name="Sheet2" sheetId="6" r:id="rId5"/>
    <sheet name="Sheet4" sheetId="8" r:id="rId6"/>
    <sheet name="Sheet6" sheetId="10" r:id="rId7"/>
    <sheet name="kpi" sheetId="11" r:id="rId8"/>
    <sheet name="Input Data" sheetId="2" r:id="rId9"/>
    <sheet name="Master Data" sheetId="1" r:id="rId10"/>
  </sheets>
  <externalReferences>
    <externalReference r:id="rId11"/>
  </externalReferences>
  <definedNames>
    <definedName name="Category">OFFSET(Analysis!$AC$1,1,0,COUNT(Analysis!$AD:$AD))</definedName>
    <definedName name="CategoryRange">OFFSET(Analysis!$AC$1,1,1,COUNT(Analysis!$AD:$AD))</definedName>
    <definedName name="Slicer_Month">#N/A</definedName>
    <definedName name="Slicer_PAYMENT_MODE">#N/A</definedName>
    <definedName name="Slicer_PRODUCT_ID">#N/A</definedName>
    <definedName name="Slicer_SALE_TYPE">#N/A</definedName>
    <definedName name="Slicer_SALE_TYPE1">#N/A</definedName>
    <definedName name="Slicer_SALE_TYPE2">#N/A</definedName>
    <definedName name="Slicer_Year">#N/A</definedName>
    <definedName name="Slicer_Year1">#N/A</definedName>
  </definedNames>
  <calcPr calcId="191029"/>
  <pivotCaches>
    <pivotCache cacheId="2" r:id="rId12"/>
    <pivotCache cacheId="3" r:id="rId13"/>
  </pivotCaches>
  <extLst>
    <ext xmlns:x14="http://schemas.microsoft.com/office/spreadsheetml/2009/9/main" uri="{BBE1A952-AA13-448e-AADC-164F8A28A991}">
      <x14:slicerCaches>
        <x14:slicerCache r:id="rId14"/>
        <x14:slicerCache r:id="rId15"/>
        <x14:slicerCache r:id="rId16"/>
        <x14:slicerCache r:id="rId17"/>
        <x14:slicerCache r:id="rId18"/>
        <x14:slicerCache r:id="rId19"/>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6" i="11" l="1"/>
  <c r="B2" i="11"/>
  <c r="B4" i="11"/>
  <c r="K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G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AG3" i="3" a="1"/>
  <c r="AG3" i="3" s="1"/>
  <c r="AH3" i="3" a="1"/>
  <c r="AH3" i="3" s="1"/>
  <c r="AF3" i="3" s="1" a="1"/>
  <c r="AF3" i="3" s="1"/>
  <c r="AH1" i="3" s="1"/>
  <c r="U2" i="3" a="1"/>
  <c r="U2" i="3" s="1"/>
  <c r="Z1" i="3"/>
  <c r="AA1" i="3" s="1"/>
  <c r="Z2" i="3" s="1" a="1"/>
  <c r="Z2" i="3" s="1"/>
  <c r="W2" i="3" a="1"/>
  <c r="W2" i="3" s="1"/>
  <c r="V2" i="3" a="1"/>
  <c r="M4" i="3"/>
  <c r="N4" i="3" s="1"/>
  <c r="M5" i="3"/>
  <c r="N5" i="3" s="1"/>
  <c r="M6" i="3"/>
  <c r="N6" i="3" s="1"/>
  <c r="M7" i="3"/>
  <c r="N7" i="3" s="1"/>
  <c r="M8" i="3"/>
  <c r="N8" i="3" s="1"/>
  <c r="M9" i="3"/>
  <c r="N9" i="3" s="1"/>
  <c r="M10" i="3"/>
  <c r="N10" i="3" s="1"/>
  <c r="M11" i="3"/>
  <c r="N11" i="3" s="1"/>
  <c r="M12" i="3"/>
  <c r="N12" i="3" s="1"/>
  <c r="M13" i="3"/>
  <c r="N13" i="3" s="1"/>
  <c r="M14" i="3"/>
  <c r="N14" i="3" s="1"/>
  <c r="M3" i="3"/>
  <c r="N3" i="3" s="1"/>
  <c r="L4" i="3"/>
  <c r="L5" i="3"/>
  <c r="L6" i="3"/>
  <c r="L7" i="3"/>
  <c r="L8" i="3"/>
  <c r="L9" i="3"/>
  <c r="L10" i="3"/>
  <c r="L11" i="3"/>
  <c r="L12" i="3"/>
  <c r="L13" i="3"/>
  <c r="L14" i="3"/>
  <c r="L3" i="3"/>
  <c r="P2"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502" i="2"/>
  <c r="P503" i="2"/>
  <c r="P504" i="2"/>
  <c r="P505" i="2"/>
  <c r="P506" i="2"/>
  <c r="P507" i="2"/>
  <c r="P508" i="2"/>
  <c r="P509" i="2"/>
  <c r="P510" i="2"/>
  <c r="P511" i="2"/>
  <c r="P512" i="2"/>
  <c r="P513" i="2"/>
  <c r="P514" i="2"/>
  <c r="P515" i="2"/>
  <c r="P516" i="2"/>
  <c r="P517" i="2"/>
  <c r="P518" i="2"/>
  <c r="P519" i="2"/>
  <c r="P520" i="2"/>
  <c r="P521" i="2"/>
  <c r="P522" i="2"/>
  <c r="P523" i="2"/>
  <c r="P524" i="2"/>
  <c r="P525" i="2"/>
  <c r="P526" i="2"/>
  <c r="P527" i="2"/>
  <c r="P528" i="2"/>
  <c r="O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N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M2"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J2" i="2"/>
  <c r="L2" i="2" s="1"/>
  <c r="J3" i="2"/>
  <c r="L3" i="2" s="1"/>
  <c r="J4" i="2"/>
  <c r="L4" i="2" s="1"/>
  <c r="J5" i="2"/>
  <c r="L5" i="2" s="1"/>
  <c r="J6" i="2"/>
  <c r="L6" i="2" s="1"/>
  <c r="J7" i="2"/>
  <c r="L7" i="2" s="1"/>
  <c r="J8" i="2"/>
  <c r="L8" i="2" s="1"/>
  <c r="J9" i="2"/>
  <c r="L9" i="2" s="1"/>
  <c r="J10" i="2"/>
  <c r="L10" i="2" s="1"/>
  <c r="J11" i="2"/>
  <c r="L11" i="2" s="1"/>
  <c r="J12" i="2"/>
  <c r="L12" i="2" s="1"/>
  <c r="J13" i="2"/>
  <c r="L13" i="2" s="1"/>
  <c r="J14" i="2"/>
  <c r="L14" i="2" s="1"/>
  <c r="J15" i="2"/>
  <c r="L15" i="2" s="1"/>
  <c r="J16" i="2"/>
  <c r="L16" i="2" s="1"/>
  <c r="J17" i="2"/>
  <c r="L17" i="2" s="1"/>
  <c r="J18" i="2"/>
  <c r="L18" i="2" s="1"/>
  <c r="J19" i="2"/>
  <c r="L19" i="2" s="1"/>
  <c r="J20" i="2"/>
  <c r="L20" i="2" s="1"/>
  <c r="J21" i="2"/>
  <c r="L21" i="2" s="1"/>
  <c r="J22" i="2"/>
  <c r="L22" i="2" s="1"/>
  <c r="J23" i="2"/>
  <c r="L23" i="2" s="1"/>
  <c r="J24" i="2"/>
  <c r="L24" i="2" s="1"/>
  <c r="J25" i="2"/>
  <c r="L25" i="2" s="1"/>
  <c r="J26" i="2"/>
  <c r="L26" i="2" s="1"/>
  <c r="J27" i="2"/>
  <c r="L27" i="2" s="1"/>
  <c r="J28" i="2"/>
  <c r="L28" i="2" s="1"/>
  <c r="J29" i="2"/>
  <c r="L29" i="2" s="1"/>
  <c r="J30" i="2"/>
  <c r="L30" i="2" s="1"/>
  <c r="J31" i="2"/>
  <c r="L31" i="2" s="1"/>
  <c r="J32" i="2"/>
  <c r="L32" i="2" s="1"/>
  <c r="J33" i="2"/>
  <c r="L33" i="2" s="1"/>
  <c r="J34" i="2"/>
  <c r="L34" i="2" s="1"/>
  <c r="J35" i="2"/>
  <c r="L35" i="2" s="1"/>
  <c r="J36" i="2"/>
  <c r="L36" i="2" s="1"/>
  <c r="J37" i="2"/>
  <c r="L37" i="2" s="1"/>
  <c r="J38" i="2"/>
  <c r="L38" i="2" s="1"/>
  <c r="J39" i="2"/>
  <c r="L39" i="2" s="1"/>
  <c r="J40" i="2"/>
  <c r="L40" i="2" s="1"/>
  <c r="J41" i="2"/>
  <c r="L41" i="2" s="1"/>
  <c r="J42" i="2"/>
  <c r="L42" i="2" s="1"/>
  <c r="J43" i="2"/>
  <c r="L43" i="2" s="1"/>
  <c r="J44" i="2"/>
  <c r="L44" i="2" s="1"/>
  <c r="J45" i="2"/>
  <c r="L45" i="2" s="1"/>
  <c r="J46" i="2"/>
  <c r="L46" i="2" s="1"/>
  <c r="J47" i="2"/>
  <c r="L47" i="2" s="1"/>
  <c r="J48" i="2"/>
  <c r="L48" i="2" s="1"/>
  <c r="J49" i="2"/>
  <c r="L49" i="2" s="1"/>
  <c r="J50" i="2"/>
  <c r="L50" i="2" s="1"/>
  <c r="J51" i="2"/>
  <c r="L51" i="2" s="1"/>
  <c r="J52" i="2"/>
  <c r="L52" i="2" s="1"/>
  <c r="J53" i="2"/>
  <c r="L53" i="2" s="1"/>
  <c r="J54" i="2"/>
  <c r="L54" i="2" s="1"/>
  <c r="J55" i="2"/>
  <c r="L55" i="2" s="1"/>
  <c r="J56" i="2"/>
  <c r="L56" i="2" s="1"/>
  <c r="J57" i="2"/>
  <c r="L57" i="2" s="1"/>
  <c r="J58" i="2"/>
  <c r="L58" i="2" s="1"/>
  <c r="J59" i="2"/>
  <c r="L59" i="2" s="1"/>
  <c r="J60" i="2"/>
  <c r="L60" i="2" s="1"/>
  <c r="J61" i="2"/>
  <c r="L61" i="2" s="1"/>
  <c r="J62" i="2"/>
  <c r="L62" i="2" s="1"/>
  <c r="J63" i="2"/>
  <c r="L63" i="2" s="1"/>
  <c r="J64" i="2"/>
  <c r="L64" i="2" s="1"/>
  <c r="J65" i="2"/>
  <c r="L65" i="2" s="1"/>
  <c r="J66" i="2"/>
  <c r="L66" i="2" s="1"/>
  <c r="J67" i="2"/>
  <c r="L67" i="2" s="1"/>
  <c r="J68" i="2"/>
  <c r="L68" i="2" s="1"/>
  <c r="J69" i="2"/>
  <c r="L69" i="2" s="1"/>
  <c r="J70" i="2"/>
  <c r="L70" i="2" s="1"/>
  <c r="J71" i="2"/>
  <c r="L71" i="2" s="1"/>
  <c r="J72" i="2"/>
  <c r="L72" i="2" s="1"/>
  <c r="J73" i="2"/>
  <c r="L73" i="2" s="1"/>
  <c r="J74" i="2"/>
  <c r="L74" i="2" s="1"/>
  <c r="J75" i="2"/>
  <c r="L75" i="2" s="1"/>
  <c r="J76" i="2"/>
  <c r="L76" i="2" s="1"/>
  <c r="J77" i="2"/>
  <c r="L77" i="2" s="1"/>
  <c r="J78" i="2"/>
  <c r="L78" i="2" s="1"/>
  <c r="J79" i="2"/>
  <c r="L79" i="2" s="1"/>
  <c r="J80" i="2"/>
  <c r="L80" i="2" s="1"/>
  <c r="J81" i="2"/>
  <c r="L81" i="2" s="1"/>
  <c r="J82" i="2"/>
  <c r="L82" i="2" s="1"/>
  <c r="J83" i="2"/>
  <c r="L83" i="2" s="1"/>
  <c r="J84" i="2"/>
  <c r="L84" i="2" s="1"/>
  <c r="J85" i="2"/>
  <c r="L85" i="2" s="1"/>
  <c r="J86" i="2"/>
  <c r="L86" i="2" s="1"/>
  <c r="J87" i="2"/>
  <c r="L87" i="2" s="1"/>
  <c r="J88" i="2"/>
  <c r="L88" i="2" s="1"/>
  <c r="J89" i="2"/>
  <c r="L89" i="2" s="1"/>
  <c r="J90" i="2"/>
  <c r="L90" i="2" s="1"/>
  <c r="J91" i="2"/>
  <c r="L91" i="2" s="1"/>
  <c r="J92" i="2"/>
  <c r="L92" i="2" s="1"/>
  <c r="J93" i="2"/>
  <c r="L93" i="2" s="1"/>
  <c r="J94" i="2"/>
  <c r="L94" i="2" s="1"/>
  <c r="J95" i="2"/>
  <c r="L95" i="2" s="1"/>
  <c r="J96" i="2"/>
  <c r="L96" i="2" s="1"/>
  <c r="J97" i="2"/>
  <c r="L97" i="2" s="1"/>
  <c r="J98" i="2"/>
  <c r="L98" i="2" s="1"/>
  <c r="J99" i="2"/>
  <c r="L99" i="2" s="1"/>
  <c r="J100" i="2"/>
  <c r="L100" i="2" s="1"/>
  <c r="J101" i="2"/>
  <c r="L101" i="2" s="1"/>
  <c r="J102" i="2"/>
  <c r="L102" i="2" s="1"/>
  <c r="J103" i="2"/>
  <c r="L103" i="2" s="1"/>
  <c r="J104" i="2"/>
  <c r="L104" i="2" s="1"/>
  <c r="J105" i="2"/>
  <c r="L105" i="2" s="1"/>
  <c r="J106" i="2"/>
  <c r="L106" i="2" s="1"/>
  <c r="J107" i="2"/>
  <c r="L107" i="2" s="1"/>
  <c r="J108" i="2"/>
  <c r="L108" i="2" s="1"/>
  <c r="J109" i="2"/>
  <c r="L109" i="2" s="1"/>
  <c r="J110" i="2"/>
  <c r="L110" i="2" s="1"/>
  <c r="J111" i="2"/>
  <c r="L111" i="2" s="1"/>
  <c r="J112" i="2"/>
  <c r="L112" i="2" s="1"/>
  <c r="J113" i="2"/>
  <c r="L113" i="2" s="1"/>
  <c r="J114" i="2"/>
  <c r="L114" i="2" s="1"/>
  <c r="J115" i="2"/>
  <c r="L115" i="2" s="1"/>
  <c r="J116" i="2"/>
  <c r="L116" i="2" s="1"/>
  <c r="J117" i="2"/>
  <c r="L117" i="2" s="1"/>
  <c r="J118" i="2"/>
  <c r="L118" i="2" s="1"/>
  <c r="J119" i="2"/>
  <c r="L119" i="2" s="1"/>
  <c r="J120" i="2"/>
  <c r="L120" i="2" s="1"/>
  <c r="J121" i="2"/>
  <c r="L121" i="2" s="1"/>
  <c r="J122" i="2"/>
  <c r="L122" i="2" s="1"/>
  <c r="J123" i="2"/>
  <c r="L123" i="2" s="1"/>
  <c r="J124" i="2"/>
  <c r="L124" i="2" s="1"/>
  <c r="J125" i="2"/>
  <c r="L125" i="2" s="1"/>
  <c r="J126" i="2"/>
  <c r="L126" i="2" s="1"/>
  <c r="J127" i="2"/>
  <c r="L127" i="2" s="1"/>
  <c r="J128" i="2"/>
  <c r="L128" i="2" s="1"/>
  <c r="J129" i="2"/>
  <c r="L129" i="2" s="1"/>
  <c r="J130" i="2"/>
  <c r="L130" i="2" s="1"/>
  <c r="J131" i="2"/>
  <c r="L131" i="2" s="1"/>
  <c r="J132" i="2"/>
  <c r="L132" i="2" s="1"/>
  <c r="J133" i="2"/>
  <c r="L133" i="2" s="1"/>
  <c r="J134" i="2"/>
  <c r="L134" i="2" s="1"/>
  <c r="J135" i="2"/>
  <c r="L135" i="2" s="1"/>
  <c r="J136" i="2"/>
  <c r="L136" i="2" s="1"/>
  <c r="J137" i="2"/>
  <c r="L137" i="2" s="1"/>
  <c r="J138" i="2"/>
  <c r="L138" i="2" s="1"/>
  <c r="J139" i="2"/>
  <c r="L139" i="2" s="1"/>
  <c r="J140" i="2"/>
  <c r="L140" i="2" s="1"/>
  <c r="J141" i="2"/>
  <c r="L141" i="2" s="1"/>
  <c r="J142" i="2"/>
  <c r="L142" i="2" s="1"/>
  <c r="J143" i="2"/>
  <c r="L143" i="2" s="1"/>
  <c r="J144" i="2"/>
  <c r="L144" i="2" s="1"/>
  <c r="J145" i="2"/>
  <c r="L145" i="2" s="1"/>
  <c r="J146" i="2"/>
  <c r="L146" i="2" s="1"/>
  <c r="J147" i="2"/>
  <c r="L147" i="2" s="1"/>
  <c r="J148" i="2"/>
  <c r="L148" i="2" s="1"/>
  <c r="J149" i="2"/>
  <c r="L149" i="2" s="1"/>
  <c r="J150" i="2"/>
  <c r="L150" i="2" s="1"/>
  <c r="J151" i="2"/>
  <c r="L151" i="2" s="1"/>
  <c r="J152" i="2"/>
  <c r="L152" i="2" s="1"/>
  <c r="J153" i="2"/>
  <c r="L153" i="2" s="1"/>
  <c r="J154" i="2"/>
  <c r="L154" i="2" s="1"/>
  <c r="J155" i="2"/>
  <c r="L155" i="2" s="1"/>
  <c r="J156" i="2"/>
  <c r="L156" i="2" s="1"/>
  <c r="J157" i="2"/>
  <c r="L157" i="2" s="1"/>
  <c r="J158" i="2"/>
  <c r="L158" i="2" s="1"/>
  <c r="J159" i="2"/>
  <c r="L159" i="2" s="1"/>
  <c r="J160" i="2"/>
  <c r="L160" i="2" s="1"/>
  <c r="J161" i="2"/>
  <c r="L161" i="2" s="1"/>
  <c r="J162" i="2"/>
  <c r="L162" i="2" s="1"/>
  <c r="J163" i="2"/>
  <c r="L163" i="2" s="1"/>
  <c r="J164" i="2"/>
  <c r="L164" i="2" s="1"/>
  <c r="J165" i="2"/>
  <c r="L165" i="2" s="1"/>
  <c r="J166" i="2"/>
  <c r="L166" i="2" s="1"/>
  <c r="J167" i="2"/>
  <c r="L167" i="2" s="1"/>
  <c r="J168" i="2"/>
  <c r="L168" i="2" s="1"/>
  <c r="J169" i="2"/>
  <c r="L169" i="2" s="1"/>
  <c r="J170" i="2"/>
  <c r="L170" i="2" s="1"/>
  <c r="J171" i="2"/>
  <c r="L171" i="2" s="1"/>
  <c r="J172" i="2"/>
  <c r="L172" i="2" s="1"/>
  <c r="J173" i="2"/>
  <c r="L173" i="2" s="1"/>
  <c r="J174" i="2"/>
  <c r="L174" i="2" s="1"/>
  <c r="J175" i="2"/>
  <c r="L175" i="2" s="1"/>
  <c r="J176" i="2"/>
  <c r="L176" i="2" s="1"/>
  <c r="J177" i="2"/>
  <c r="L177" i="2" s="1"/>
  <c r="J178" i="2"/>
  <c r="L178" i="2" s="1"/>
  <c r="J179" i="2"/>
  <c r="L179" i="2" s="1"/>
  <c r="J180" i="2"/>
  <c r="L180" i="2" s="1"/>
  <c r="J181" i="2"/>
  <c r="L181" i="2" s="1"/>
  <c r="J182" i="2"/>
  <c r="L182" i="2" s="1"/>
  <c r="J183" i="2"/>
  <c r="L183" i="2" s="1"/>
  <c r="J184" i="2"/>
  <c r="L184" i="2" s="1"/>
  <c r="J185" i="2"/>
  <c r="L185" i="2" s="1"/>
  <c r="J186" i="2"/>
  <c r="L186" i="2" s="1"/>
  <c r="J187" i="2"/>
  <c r="L187" i="2" s="1"/>
  <c r="J188" i="2"/>
  <c r="L188" i="2" s="1"/>
  <c r="J189" i="2"/>
  <c r="L189" i="2" s="1"/>
  <c r="J190" i="2"/>
  <c r="L190" i="2" s="1"/>
  <c r="J191" i="2"/>
  <c r="L191" i="2" s="1"/>
  <c r="J192" i="2"/>
  <c r="L192" i="2" s="1"/>
  <c r="J193" i="2"/>
  <c r="L193" i="2" s="1"/>
  <c r="J194" i="2"/>
  <c r="L194" i="2" s="1"/>
  <c r="J195" i="2"/>
  <c r="L195" i="2" s="1"/>
  <c r="J196" i="2"/>
  <c r="L196" i="2" s="1"/>
  <c r="J197" i="2"/>
  <c r="L197" i="2" s="1"/>
  <c r="J198" i="2"/>
  <c r="L198" i="2" s="1"/>
  <c r="J199" i="2"/>
  <c r="L199" i="2" s="1"/>
  <c r="J200" i="2"/>
  <c r="L200" i="2" s="1"/>
  <c r="J201" i="2"/>
  <c r="L201" i="2" s="1"/>
  <c r="J202" i="2"/>
  <c r="L202" i="2" s="1"/>
  <c r="J203" i="2"/>
  <c r="L203" i="2" s="1"/>
  <c r="J204" i="2"/>
  <c r="L204" i="2" s="1"/>
  <c r="J205" i="2"/>
  <c r="L205" i="2" s="1"/>
  <c r="J206" i="2"/>
  <c r="L206" i="2" s="1"/>
  <c r="J207" i="2"/>
  <c r="L207" i="2" s="1"/>
  <c r="J208" i="2"/>
  <c r="L208" i="2" s="1"/>
  <c r="J209" i="2"/>
  <c r="L209" i="2" s="1"/>
  <c r="J210" i="2"/>
  <c r="L210" i="2" s="1"/>
  <c r="J211" i="2"/>
  <c r="L211" i="2" s="1"/>
  <c r="J212" i="2"/>
  <c r="L212" i="2" s="1"/>
  <c r="J213" i="2"/>
  <c r="L213" i="2" s="1"/>
  <c r="J214" i="2"/>
  <c r="L214" i="2" s="1"/>
  <c r="J215" i="2"/>
  <c r="L215" i="2" s="1"/>
  <c r="J216" i="2"/>
  <c r="L216" i="2" s="1"/>
  <c r="J217" i="2"/>
  <c r="L217" i="2" s="1"/>
  <c r="J218" i="2"/>
  <c r="L218" i="2" s="1"/>
  <c r="J219" i="2"/>
  <c r="L219" i="2" s="1"/>
  <c r="J220" i="2"/>
  <c r="L220" i="2" s="1"/>
  <c r="J221" i="2"/>
  <c r="L221" i="2" s="1"/>
  <c r="J222" i="2"/>
  <c r="L222" i="2" s="1"/>
  <c r="J223" i="2"/>
  <c r="L223" i="2" s="1"/>
  <c r="J224" i="2"/>
  <c r="L224" i="2" s="1"/>
  <c r="J225" i="2"/>
  <c r="L225" i="2" s="1"/>
  <c r="J226" i="2"/>
  <c r="L226" i="2" s="1"/>
  <c r="J227" i="2"/>
  <c r="L227" i="2" s="1"/>
  <c r="J228" i="2"/>
  <c r="L228" i="2" s="1"/>
  <c r="J229" i="2"/>
  <c r="L229" i="2" s="1"/>
  <c r="J230" i="2"/>
  <c r="L230" i="2" s="1"/>
  <c r="J231" i="2"/>
  <c r="L231" i="2" s="1"/>
  <c r="J232" i="2"/>
  <c r="L232" i="2" s="1"/>
  <c r="J233" i="2"/>
  <c r="L233" i="2" s="1"/>
  <c r="J234" i="2"/>
  <c r="L234" i="2" s="1"/>
  <c r="J235" i="2"/>
  <c r="L235" i="2" s="1"/>
  <c r="J236" i="2"/>
  <c r="L236" i="2" s="1"/>
  <c r="J237" i="2"/>
  <c r="L237" i="2" s="1"/>
  <c r="J238" i="2"/>
  <c r="L238" i="2" s="1"/>
  <c r="J239" i="2"/>
  <c r="L239" i="2" s="1"/>
  <c r="J240" i="2"/>
  <c r="L240" i="2" s="1"/>
  <c r="J241" i="2"/>
  <c r="L241" i="2" s="1"/>
  <c r="J242" i="2"/>
  <c r="L242" i="2" s="1"/>
  <c r="J243" i="2"/>
  <c r="L243" i="2" s="1"/>
  <c r="J244" i="2"/>
  <c r="L244" i="2" s="1"/>
  <c r="J245" i="2"/>
  <c r="L245" i="2" s="1"/>
  <c r="J246" i="2"/>
  <c r="L246" i="2" s="1"/>
  <c r="J247" i="2"/>
  <c r="L247" i="2" s="1"/>
  <c r="J248" i="2"/>
  <c r="L248" i="2" s="1"/>
  <c r="J249" i="2"/>
  <c r="L249" i="2" s="1"/>
  <c r="J250" i="2"/>
  <c r="L250" i="2" s="1"/>
  <c r="J251" i="2"/>
  <c r="L251" i="2" s="1"/>
  <c r="J252" i="2"/>
  <c r="L252" i="2" s="1"/>
  <c r="J253" i="2"/>
  <c r="L253" i="2" s="1"/>
  <c r="J254" i="2"/>
  <c r="L254" i="2" s="1"/>
  <c r="J255" i="2"/>
  <c r="L255" i="2" s="1"/>
  <c r="J256" i="2"/>
  <c r="L256" i="2" s="1"/>
  <c r="J257" i="2"/>
  <c r="L257" i="2" s="1"/>
  <c r="J258" i="2"/>
  <c r="L258" i="2" s="1"/>
  <c r="J259" i="2"/>
  <c r="L259" i="2" s="1"/>
  <c r="J260" i="2"/>
  <c r="L260" i="2" s="1"/>
  <c r="J261" i="2"/>
  <c r="L261" i="2" s="1"/>
  <c r="J262" i="2"/>
  <c r="L262" i="2" s="1"/>
  <c r="J263" i="2"/>
  <c r="L263" i="2" s="1"/>
  <c r="J264" i="2"/>
  <c r="L264" i="2" s="1"/>
  <c r="J265" i="2"/>
  <c r="L265" i="2" s="1"/>
  <c r="J266" i="2"/>
  <c r="L266" i="2" s="1"/>
  <c r="J267" i="2"/>
  <c r="L267" i="2" s="1"/>
  <c r="J268" i="2"/>
  <c r="L268" i="2" s="1"/>
  <c r="J269" i="2"/>
  <c r="L269" i="2" s="1"/>
  <c r="J270" i="2"/>
  <c r="L270" i="2" s="1"/>
  <c r="J271" i="2"/>
  <c r="L271" i="2" s="1"/>
  <c r="J272" i="2"/>
  <c r="L272" i="2" s="1"/>
  <c r="J273" i="2"/>
  <c r="L273" i="2" s="1"/>
  <c r="J274" i="2"/>
  <c r="L274" i="2" s="1"/>
  <c r="J275" i="2"/>
  <c r="L275" i="2" s="1"/>
  <c r="J276" i="2"/>
  <c r="L276" i="2" s="1"/>
  <c r="J277" i="2"/>
  <c r="L277" i="2" s="1"/>
  <c r="J278" i="2"/>
  <c r="L278" i="2" s="1"/>
  <c r="J279" i="2"/>
  <c r="L279" i="2" s="1"/>
  <c r="J280" i="2"/>
  <c r="L280" i="2" s="1"/>
  <c r="J281" i="2"/>
  <c r="L281" i="2" s="1"/>
  <c r="J282" i="2"/>
  <c r="L282" i="2" s="1"/>
  <c r="J283" i="2"/>
  <c r="L283" i="2" s="1"/>
  <c r="J284" i="2"/>
  <c r="L284" i="2" s="1"/>
  <c r="J285" i="2"/>
  <c r="L285" i="2" s="1"/>
  <c r="J286" i="2"/>
  <c r="L286" i="2" s="1"/>
  <c r="J287" i="2"/>
  <c r="L287" i="2" s="1"/>
  <c r="J288" i="2"/>
  <c r="L288" i="2" s="1"/>
  <c r="J289" i="2"/>
  <c r="L289" i="2" s="1"/>
  <c r="J290" i="2"/>
  <c r="L290" i="2" s="1"/>
  <c r="J291" i="2"/>
  <c r="L291" i="2" s="1"/>
  <c r="J292" i="2"/>
  <c r="L292" i="2" s="1"/>
  <c r="J293" i="2"/>
  <c r="L293" i="2" s="1"/>
  <c r="J294" i="2"/>
  <c r="L294" i="2" s="1"/>
  <c r="J295" i="2"/>
  <c r="L295" i="2" s="1"/>
  <c r="J296" i="2"/>
  <c r="L296" i="2" s="1"/>
  <c r="J297" i="2"/>
  <c r="L297" i="2" s="1"/>
  <c r="J298" i="2"/>
  <c r="L298" i="2" s="1"/>
  <c r="J299" i="2"/>
  <c r="L299" i="2" s="1"/>
  <c r="J300" i="2"/>
  <c r="L300" i="2" s="1"/>
  <c r="J301" i="2"/>
  <c r="L301" i="2" s="1"/>
  <c r="J302" i="2"/>
  <c r="L302" i="2" s="1"/>
  <c r="J303" i="2"/>
  <c r="L303" i="2" s="1"/>
  <c r="J304" i="2"/>
  <c r="L304" i="2" s="1"/>
  <c r="J305" i="2"/>
  <c r="L305" i="2" s="1"/>
  <c r="J306" i="2"/>
  <c r="L306" i="2" s="1"/>
  <c r="J307" i="2"/>
  <c r="L307" i="2" s="1"/>
  <c r="J308" i="2"/>
  <c r="L308" i="2" s="1"/>
  <c r="J309" i="2"/>
  <c r="L309" i="2" s="1"/>
  <c r="J310" i="2"/>
  <c r="L310" i="2" s="1"/>
  <c r="J311" i="2"/>
  <c r="L311" i="2" s="1"/>
  <c r="J312" i="2"/>
  <c r="L312" i="2" s="1"/>
  <c r="J313" i="2"/>
  <c r="L313" i="2" s="1"/>
  <c r="J314" i="2"/>
  <c r="L314" i="2" s="1"/>
  <c r="J315" i="2"/>
  <c r="L315" i="2" s="1"/>
  <c r="J316" i="2"/>
  <c r="L316" i="2" s="1"/>
  <c r="J317" i="2"/>
  <c r="L317" i="2" s="1"/>
  <c r="J318" i="2"/>
  <c r="L318" i="2" s="1"/>
  <c r="J319" i="2"/>
  <c r="L319" i="2" s="1"/>
  <c r="J320" i="2"/>
  <c r="L320" i="2" s="1"/>
  <c r="J321" i="2"/>
  <c r="L321" i="2" s="1"/>
  <c r="J322" i="2"/>
  <c r="L322" i="2" s="1"/>
  <c r="J323" i="2"/>
  <c r="L323" i="2" s="1"/>
  <c r="J324" i="2"/>
  <c r="L324" i="2" s="1"/>
  <c r="J325" i="2"/>
  <c r="L325" i="2" s="1"/>
  <c r="J326" i="2"/>
  <c r="L326" i="2" s="1"/>
  <c r="J327" i="2"/>
  <c r="L327" i="2" s="1"/>
  <c r="J328" i="2"/>
  <c r="L328" i="2" s="1"/>
  <c r="J329" i="2"/>
  <c r="L329" i="2" s="1"/>
  <c r="J330" i="2"/>
  <c r="L330" i="2" s="1"/>
  <c r="J331" i="2"/>
  <c r="L331" i="2" s="1"/>
  <c r="J332" i="2"/>
  <c r="L332" i="2" s="1"/>
  <c r="J333" i="2"/>
  <c r="L333" i="2" s="1"/>
  <c r="J334" i="2"/>
  <c r="L334" i="2" s="1"/>
  <c r="J335" i="2"/>
  <c r="L335" i="2" s="1"/>
  <c r="J336" i="2"/>
  <c r="L336" i="2" s="1"/>
  <c r="J337" i="2"/>
  <c r="L337" i="2" s="1"/>
  <c r="J338" i="2"/>
  <c r="L338" i="2" s="1"/>
  <c r="J339" i="2"/>
  <c r="L339" i="2" s="1"/>
  <c r="J340" i="2"/>
  <c r="L340" i="2" s="1"/>
  <c r="J341" i="2"/>
  <c r="L341" i="2" s="1"/>
  <c r="J342" i="2"/>
  <c r="L342" i="2" s="1"/>
  <c r="J343" i="2"/>
  <c r="L343" i="2" s="1"/>
  <c r="J344" i="2"/>
  <c r="L344" i="2" s="1"/>
  <c r="J345" i="2"/>
  <c r="L345" i="2" s="1"/>
  <c r="J346" i="2"/>
  <c r="L346" i="2" s="1"/>
  <c r="J347" i="2"/>
  <c r="L347" i="2" s="1"/>
  <c r="J348" i="2"/>
  <c r="L348" i="2" s="1"/>
  <c r="J349" i="2"/>
  <c r="L349" i="2" s="1"/>
  <c r="J350" i="2"/>
  <c r="L350" i="2" s="1"/>
  <c r="J351" i="2"/>
  <c r="L351" i="2" s="1"/>
  <c r="J352" i="2"/>
  <c r="L352" i="2" s="1"/>
  <c r="J353" i="2"/>
  <c r="L353" i="2" s="1"/>
  <c r="J354" i="2"/>
  <c r="L354" i="2" s="1"/>
  <c r="J355" i="2"/>
  <c r="L355" i="2" s="1"/>
  <c r="J356" i="2"/>
  <c r="L356" i="2" s="1"/>
  <c r="J357" i="2"/>
  <c r="L357" i="2" s="1"/>
  <c r="J358" i="2"/>
  <c r="L358" i="2" s="1"/>
  <c r="J359" i="2"/>
  <c r="L359" i="2" s="1"/>
  <c r="J360" i="2"/>
  <c r="L360" i="2" s="1"/>
  <c r="J361" i="2"/>
  <c r="L361" i="2" s="1"/>
  <c r="J362" i="2"/>
  <c r="L362" i="2" s="1"/>
  <c r="J363" i="2"/>
  <c r="L363" i="2" s="1"/>
  <c r="J364" i="2"/>
  <c r="L364" i="2" s="1"/>
  <c r="J365" i="2"/>
  <c r="L365" i="2" s="1"/>
  <c r="J366" i="2"/>
  <c r="L366" i="2" s="1"/>
  <c r="J367" i="2"/>
  <c r="L367" i="2" s="1"/>
  <c r="J368" i="2"/>
  <c r="L368" i="2" s="1"/>
  <c r="J369" i="2"/>
  <c r="L369" i="2" s="1"/>
  <c r="J370" i="2"/>
  <c r="L370" i="2" s="1"/>
  <c r="J371" i="2"/>
  <c r="L371" i="2" s="1"/>
  <c r="J372" i="2"/>
  <c r="L372" i="2" s="1"/>
  <c r="J373" i="2"/>
  <c r="L373" i="2" s="1"/>
  <c r="J374" i="2"/>
  <c r="L374" i="2" s="1"/>
  <c r="J375" i="2"/>
  <c r="L375" i="2" s="1"/>
  <c r="J376" i="2"/>
  <c r="L376" i="2" s="1"/>
  <c r="J377" i="2"/>
  <c r="L377" i="2" s="1"/>
  <c r="J378" i="2"/>
  <c r="L378" i="2" s="1"/>
  <c r="J379" i="2"/>
  <c r="L379" i="2" s="1"/>
  <c r="J380" i="2"/>
  <c r="L380" i="2" s="1"/>
  <c r="J381" i="2"/>
  <c r="L381" i="2" s="1"/>
  <c r="J382" i="2"/>
  <c r="L382" i="2" s="1"/>
  <c r="J383" i="2"/>
  <c r="L383" i="2" s="1"/>
  <c r="J384" i="2"/>
  <c r="L384" i="2" s="1"/>
  <c r="J385" i="2"/>
  <c r="L385" i="2" s="1"/>
  <c r="J386" i="2"/>
  <c r="L386" i="2" s="1"/>
  <c r="J387" i="2"/>
  <c r="L387" i="2" s="1"/>
  <c r="J388" i="2"/>
  <c r="L388" i="2" s="1"/>
  <c r="J389" i="2"/>
  <c r="L389" i="2" s="1"/>
  <c r="J390" i="2"/>
  <c r="L390" i="2" s="1"/>
  <c r="J391" i="2"/>
  <c r="L391" i="2" s="1"/>
  <c r="J392" i="2"/>
  <c r="L392" i="2" s="1"/>
  <c r="J393" i="2"/>
  <c r="L393" i="2" s="1"/>
  <c r="J394" i="2"/>
  <c r="L394" i="2" s="1"/>
  <c r="J395" i="2"/>
  <c r="L395" i="2" s="1"/>
  <c r="J396" i="2"/>
  <c r="L396" i="2" s="1"/>
  <c r="J397" i="2"/>
  <c r="L397" i="2" s="1"/>
  <c r="J398" i="2"/>
  <c r="L398" i="2" s="1"/>
  <c r="J399" i="2"/>
  <c r="L399" i="2" s="1"/>
  <c r="J400" i="2"/>
  <c r="L400" i="2" s="1"/>
  <c r="J401" i="2"/>
  <c r="L401" i="2" s="1"/>
  <c r="J402" i="2"/>
  <c r="L402" i="2" s="1"/>
  <c r="J403" i="2"/>
  <c r="L403" i="2" s="1"/>
  <c r="J404" i="2"/>
  <c r="L404" i="2" s="1"/>
  <c r="J405" i="2"/>
  <c r="L405" i="2" s="1"/>
  <c r="J406" i="2"/>
  <c r="L406" i="2" s="1"/>
  <c r="J407" i="2"/>
  <c r="L407" i="2" s="1"/>
  <c r="J408" i="2"/>
  <c r="L408" i="2" s="1"/>
  <c r="J409" i="2"/>
  <c r="L409" i="2" s="1"/>
  <c r="J410" i="2"/>
  <c r="L410" i="2" s="1"/>
  <c r="J411" i="2"/>
  <c r="L411" i="2" s="1"/>
  <c r="J412" i="2"/>
  <c r="L412" i="2" s="1"/>
  <c r="J413" i="2"/>
  <c r="L413" i="2" s="1"/>
  <c r="J414" i="2"/>
  <c r="L414" i="2" s="1"/>
  <c r="J415" i="2"/>
  <c r="L415" i="2" s="1"/>
  <c r="J416" i="2"/>
  <c r="L416" i="2" s="1"/>
  <c r="J417" i="2"/>
  <c r="L417" i="2" s="1"/>
  <c r="J418" i="2"/>
  <c r="L418" i="2" s="1"/>
  <c r="J419" i="2"/>
  <c r="L419" i="2" s="1"/>
  <c r="J420" i="2"/>
  <c r="L420" i="2" s="1"/>
  <c r="J421" i="2"/>
  <c r="L421" i="2" s="1"/>
  <c r="J422" i="2"/>
  <c r="L422" i="2" s="1"/>
  <c r="J423" i="2"/>
  <c r="L423" i="2" s="1"/>
  <c r="J424" i="2"/>
  <c r="L424" i="2" s="1"/>
  <c r="J425" i="2"/>
  <c r="L425" i="2" s="1"/>
  <c r="J426" i="2"/>
  <c r="L426" i="2" s="1"/>
  <c r="J427" i="2"/>
  <c r="L427" i="2" s="1"/>
  <c r="J428" i="2"/>
  <c r="L428" i="2" s="1"/>
  <c r="J429" i="2"/>
  <c r="L429" i="2" s="1"/>
  <c r="J430" i="2"/>
  <c r="L430" i="2" s="1"/>
  <c r="J431" i="2"/>
  <c r="L431" i="2" s="1"/>
  <c r="J432" i="2"/>
  <c r="L432" i="2" s="1"/>
  <c r="J433" i="2"/>
  <c r="L433" i="2" s="1"/>
  <c r="J434" i="2"/>
  <c r="L434" i="2" s="1"/>
  <c r="J435" i="2"/>
  <c r="L435" i="2" s="1"/>
  <c r="J436" i="2"/>
  <c r="L436" i="2" s="1"/>
  <c r="J437" i="2"/>
  <c r="L437" i="2" s="1"/>
  <c r="J438" i="2"/>
  <c r="L438" i="2" s="1"/>
  <c r="J439" i="2"/>
  <c r="L439" i="2" s="1"/>
  <c r="J440" i="2"/>
  <c r="L440" i="2" s="1"/>
  <c r="J441" i="2"/>
  <c r="L441" i="2" s="1"/>
  <c r="J442" i="2"/>
  <c r="L442" i="2" s="1"/>
  <c r="J443" i="2"/>
  <c r="L443" i="2" s="1"/>
  <c r="J444" i="2"/>
  <c r="L444" i="2" s="1"/>
  <c r="J445" i="2"/>
  <c r="L445" i="2" s="1"/>
  <c r="J446" i="2"/>
  <c r="L446" i="2" s="1"/>
  <c r="J447" i="2"/>
  <c r="L447" i="2" s="1"/>
  <c r="J448" i="2"/>
  <c r="L448" i="2" s="1"/>
  <c r="J449" i="2"/>
  <c r="L449" i="2" s="1"/>
  <c r="J450" i="2"/>
  <c r="L450" i="2" s="1"/>
  <c r="J451" i="2"/>
  <c r="L451" i="2" s="1"/>
  <c r="J452" i="2"/>
  <c r="L452" i="2" s="1"/>
  <c r="J453" i="2"/>
  <c r="L453" i="2" s="1"/>
  <c r="J454" i="2"/>
  <c r="L454" i="2" s="1"/>
  <c r="J455" i="2"/>
  <c r="L455" i="2" s="1"/>
  <c r="J456" i="2"/>
  <c r="L456" i="2" s="1"/>
  <c r="J457" i="2"/>
  <c r="L457" i="2" s="1"/>
  <c r="J458" i="2"/>
  <c r="L458" i="2" s="1"/>
  <c r="J459" i="2"/>
  <c r="L459" i="2" s="1"/>
  <c r="J460" i="2"/>
  <c r="L460" i="2" s="1"/>
  <c r="J461" i="2"/>
  <c r="L461" i="2" s="1"/>
  <c r="J462" i="2"/>
  <c r="L462" i="2" s="1"/>
  <c r="J463" i="2"/>
  <c r="L463" i="2" s="1"/>
  <c r="J464" i="2"/>
  <c r="L464" i="2" s="1"/>
  <c r="J465" i="2"/>
  <c r="L465" i="2" s="1"/>
  <c r="J466" i="2"/>
  <c r="L466" i="2" s="1"/>
  <c r="J467" i="2"/>
  <c r="L467" i="2" s="1"/>
  <c r="J468" i="2"/>
  <c r="L468" i="2" s="1"/>
  <c r="J469" i="2"/>
  <c r="L469" i="2" s="1"/>
  <c r="J470" i="2"/>
  <c r="L470" i="2" s="1"/>
  <c r="J471" i="2"/>
  <c r="L471" i="2" s="1"/>
  <c r="J472" i="2"/>
  <c r="L472" i="2" s="1"/>
  <c r="J473" i="2"/>
  <c r="L473" i="2" s="1"/>
  <c r="J474" i="2"/>
  <c r="L474" i="2" s="1"/>
  <c r="J475" i="2"/>
  <c r="L475" i="2" s="1"/>
  <c r="J476" i="2"/>
  <c r="L476" i="2" s="1"/>
  <c r="J477" i="2"/>
  <c r="L477" i="2" s="1"/>
  <c r="J478" i="2"/>
  <c r="L478" i="2" s="1"/>
  <c r="J479" i="2"/>
  <c r="L479" i="2" s="1"/>
  <c r="J480" i="2"/>
  <c r="L480" i="2" s="1"/>
  <c r="J481" i="2"/>
  <c r="L481" i="2" s="1"/>
  <c r="J482" i="2"/>
  <c r="L482" i="2" s="1"/>
  <c r="J483" i="2"/>
  <c r="L483" i="2" s="1"/>
  <c r="J484" i="2"/>
  <c r="L484" i="2" s="1"/>
  <c r="J485" i="2"/>
  <c r="L485" i="2" s="1"/>
  <c r="J486" i="2"/>
  <c r="L486" i="2" s="1"/>
  <c r="J487" i="2"/>
  <c r="L487" i="2" s="1"/>
  <c r="J488" i="2"/>
  <c r="L488" i="2" s="1"/>
  <c r="J489" i="2"/>
  <c r="L489" i="2" s="1"/>
  <c r="J490" i="2"/>
  <c r="L490" i="2" s="1"/>
  <c r="J491" i="2"/>
  <c r="L491" i="2" s="1"/>
  <c r="J492" i="2"/>
  <c r="L492" i="2" s="1"/>
  <c r="J493" i="2"/>
  <c r="L493" i="2" s="1"/>
  <c r="J494" i="2"/>
  <c r="L494" i="2" s="1"/>
  <c r="J495" i="2"/>
  <c r="L495" i="2" s="1"/>
  <c r="J496" i="2"/>
  <c r="L496" i="2" s="1"/>
  <c r="J497" i="2"/>
  <c r="L497" i="2" s="1"/>
  <c r="J498" i="2"/>
  <c r="L498" i="2" s="1"/>
  <c r="J499" i="2"/>
  <c r="L499" i="2" s="1"/>
  <c r="J500" i="2"/>
  <c r="L500" i="2" s="1"/>
  <c r="J501" i="2"/>
  <c r="L501" i="2" s="1"/>
  <c r="J502" i="2"/>
  <c r="L502" i="2" s="1"/>
  <c r="J503" i="2"/>
  <c r="L503" i="2" s="1"/>
  <c r="J504" i="2"/>
  <c r="L504" i="2" s="1"/>
  <c r="J505" i="2"/>
  <c r="L505" i="2" s="1"/>
  <c r="J506" i="2"/>
  <c r="L506" i="2" s="1"/>
  <c r="J507" i="2"/>
  <c r="L507" i="2" s="1"/>
  <c r="J508" i="2"/>
  <c r="L508" i="2" s="1"/>
  <c r="J509" i="2"/>
  <c r="L509" i="2" s="1"/>
  <c r="J510" i="2"/>
  <c r="L510" i="2" s="1"/>
  <c r="J511" i="2"/>
  <c r="L511" i="2" s="1"/>
  <c r="J512" i="2"/>
  <c r="L512" i="2" s="1"/>
  <c r="J513" i="2"/>
  <c r="L513" i="2" s="1"/>
  <c r="J514" i="2"/>
  <c r="L514" i="2" s="1"/>
  <c r="J515" i="2"/>
  <c r="L515" i="2" s="1"/>
  <c r="J516" i="2"/>
  <c r="L516" i="2" s="1"/>
  <c r="J517" i="2"/>
  <c r="L517" i="2" s="1"/>
  <c r="J518" i="2"/>
  <c r="L518" i="2" s="1"/>
  <c r="J519" i="2"/>
  <c r="L519" i="2" s="1"/>
  <c r="J520" i="2"/>
  <c r="L520" i="2" s="1"/>
  <c r="J521" i="2"/>
  <c r="L521" i="2" s="1"/>
  <c r="J522" i="2"/>
  <c r="L522" i="2" s="1"/>
  <c r="J523" i="2"/>
  <c r="L523" i="2" s="1"/>
  <c r="J524" i="2"/>
  <c r="L524" i="2" s="1"/>
  <c r="J525" i="2"/>
  <c r="L525" i="2" s="1"/>
  <c r="J526" i="2"/>
  <c r="L526" i="2" s="1"/>
  <c r="J527" i="2"/>
  <c r="L527" i="2" s="1"/>
  <c r="J528" i="2"/>
  <c r="L528" i="2" s="1"/>
  <c r="I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H2"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505" i="2"/>
  <c r="H506" i="2"/>
  <c r="H507" i="2"/>
  <c r="H508" i="2"/>
  <c r="H509" i="2"/>
  <c r="H510" i="2"/>
  <c r="H511" i="2"/>
  <c r="H512" i="2"/>
  <c r="H513" i="2"/>
  <c r="H514" i="2"/>
  <c r="H515" i="2"/>
  <c r="H516" i="2"/>
  <c r="H517" i="2"/>
  <c r="H518" i="2"/>
  <c r="H519" i="2"/>
  <c r="H520" i="2"/>
  <c r="H521" i="2"/>
  <c r="H522" i="2"/>
  <c r="H523" i="2"/>
  <c r="H524" i="2"/>
  <c r="H525" i="2"/>
  <c r="H526" i="2"/>
  <c r="H527" i="2"/>
  <c r="H528" i="2"/>
  <c r="G2"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503" i="2"/>
  <c r="G504" i="2"/>
  <c r="G505" i="2"/>
  <c r="G506" i="2"/>
  <c r="G507" i="2"/>
  <c r="G508" i="2"/>
  <c r="G509" i="2"/>
  <c r="G510" i="2"/>
  <c r="G511" i="2"/>
  <c r="G512" i="2"/>
  <c r="G513" i="2"/>
  <c r="G514" i="2"/>
  <c r="G515" i="2"/>
  <c r="G516" i="2"/>
  <c r="G517" i="2"/>
  <c r="G518" i="2"/>
  <c r="G519" i="2"/>
  <c r="G520" i="2"/>
  <c r="G521" i="2"/>
  <c r="G522" i="2"/>
  <c r="G523" i="2"/>
  <c r="G524" i="2"/>
  <c r="G525" i="2"/>
  <c r="G526" i="2"/>
  <c r="G527" i="2"/>
  <c r="G528" i="2"/>
  <c r="E5" i="3"/>
  <c r="E4" i="3"/>
  <c r="AG1" i="3" l="1"/>
  <c r="Y2" i="3" a="1"/>
  <c r="Y2" i="3" s="1"/>
  <c r="V2" i="3"/>
  <c r="T2" i="3" s="1"/>
  <c r="T8" i="3"/>
  <c r="T25" i="3"/>
  <c r="T41" i="3"/>
  <c r="T24" i="3"/>
  <c r="T9" i="3"/>
  <c r="T26" i="3"/>
  <c r="T23" i="3"/>
  <c r="T40" i="3"/>
  <c r="T18" i="3"/>
  <c r="T33" i="3"/>
  <c r="T16" i="3"/>
  <c r="T17" i="3"/>
  <c r="T32" i="3"/>
  <c r="T10" i="3"/>
  <c r="T42" i="3"/>
  <c r="T34" i="3"/>
  <c r="T39" i="3"/>
  <c r="T31" i="3"/>
  <c r="T15" i="3"/>
  <c r="T38" i="3"/>
  <c r="T30" i="3"/>
  <c r="T6" i="3"/>
  <c r="T45" i="3"/>
  <c r="T37" i="3"/>
  <c r="T29" i="3"/>
  <c r="T21" i="3"/>
  <c r="T13" i="3"/>
  <c r="T5" i="3"/>
  <c r="T7" i="3"/>
  <c r="T14" i="3"/>
  <c r="T44" i="3"/>
  <c r="T36" i="3"/>
  <c r="T28" i="3"/>
  <c r="T20" i="3"/>
  <c r="T12" i="3"/>
  <c r="T4" i="3"/>
  <c r="T22" i="3"/>
  <c r="T43" i="3"/>
  <c r="T35" i="3"/>
  <c r="T27" i="3"/>
  <c r="T19" i="3"/>
  <c r="T11" i="3"/>
  <c r="T3" i="3"/>
  <c r="E6" i="3"/>
  <c r="W1" i="3" l="1"/>
  <c r="V1" i="3"/>
  <c r="U1"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<sst xmlns="http://schemas.openxmlformats.org/spreadsheetml/2006/main" count="1923" uniqueCount="151">
  <si>
    <t>PRODUCT ID</t>
  </si>
  <si>
    <t>PRODUCT</t>
  </si>
  <si>
    <t>CATEGORY</t>
  </si>
  <si>
    <t>UOM</t>
  </si>
  <si>
    <t>BUYING PRIZE</t>
  </si>
  <si>
    <t>SELLING PRICE</t>
  </si>
  <si>
    <t>P0001</t>
  </si>
  <si>
    <t>Product01</t>
  </si>
  <si>
    <t>Category01</t>
  </si>
  <si>
    <t>Kg</t>
  </si>
  <si>
    <t>P0002</t>
  </si>
  <si>
    <t>Product02</t>
  </si>
  <si>
    <t>P0003</t>
  </si>
  <si>
    <t>Product03</t>
  </si>
  <si>
    <t>P0004</t>
  </si>
  <si>
    <t>Product04</t>
  </si>
  <si>
    <t>P0005</t>
  </si>
  <si>
    <t>Product05</t>
  </si>
  <si>
    <t>P0006</t>
  </si>
  <si>
    <t>Product06</t>
  </si>
  <si>
    <t>P0007</t>
  </si>
  <si>
    <t>Product07</t>
  </si>
  <si>
    <t>P0008</t>
  </si>
  <si>
    <t>Product08</t>
  </si>
  <si>
    <t>P0009</t>
  </si>
  <si>
    <t>Product09</t>
  </si>
  <si>
    <t>P0010</t>
  </si>
  <si>
    <t>Product10</t>
  </si>
  <si>
    <t>Category02</t>
  </si>
  <si>
    <t>P0011</t>
  </si>
  <si>
    <t>Product11</t>
  </si>
  <si>
    <t>P0012</t>
  </si>
  <si>
    <t>Product12</t>
  </si>
  <si>
    <t>P0013</t>
  </si>
  <si>
    <t>Product13</t>
  </si>
  <si>
    <t>P0014</t>
  </si>
  <si>
    <t>Product14</t>
  </si>
  <si>
    <t>P0015</t>
  </si>
  <si>
    <t>Product15</t>
  </si>
  <si>
    <t>P0016</t>
  </si>
  <si>
    <t>Product16</t>
  </si>
  <si>
    <t>P0017</t>
  </si>
  <si>
    <t>Product17</t>
  </si>
  <si>
    <t>P0018</t>
  </si>
  <si>
    <t>Product18</t>
  </si>
  <si>
    <t>P0019</t>
  </si>
  <si>
    <t>Product19</t>
  </si>
  <si>
    <t>P0020</t>
  </si>
  <si>
    <t>Product20</t>
  </si>
  <si>
    <t>Category03</t>
  </si>
  <si>
    <t>P0021</t>
  </si>
  <si>
    <t>Product21</t>
  </si>
  <si>
    <t>P0022</t>
  </si>
  <si>
    <t>Product22</t>
  </si>
  <si>
    <t>P0023</t>
  </si>
  <si>
    <t>Product23</t>
  </si>
  <si>
    <t>P0024</t>
  </si>
  <si>
    <t>Product24</t>
  </si>
  <si>
    <t>P0025</t>
  </si>
  <si>
    <t>Product25</t>
  </si>
  <si>
    <t>P0026</t>
  </si>
  <si>
    <t>Product26</t>
  </si>
  <si>
    <t>Category04</t>
  </si>
  <si>
    <t>P0027</t>
  </si>
  <si>
    <t>Product27</t>
  </si>
  <si>
    <t>P0028</t>
  </si>
  <si>
    <t>Product28</t>
  </si>
  <si>
    <t>P0029</t>
  </si>
  <si>
    <t>Product29</t>
  </si>
  <si>
    <t>P0030</t>
  </si>
  <si>
    <t>Product30</t>
  </si>
  <si>
    <t>P0031</t>
  </si>
  <si>
    <t>Product31</t>
  </si>
  <si>
    <t>P0032</t>
  </si>
  <si>
    <t>Product32</t>
  </si>
  <si>
    <t>P0033</t>
  </si>
  <si>
    <t>Product33</t>
  </si>
  <si>
    <t>P0034</t>
  </si>
  <si>
    <t>Product34</t>
  </si>
  <si>
    <t>P0035</t>
  </si>
  <si>
    <t>Product35</t>
  </si>
  <si>
    <t>P0036</t>
  </si>
  <si>
    <t>Product36</t>
  </si>
  <si>
    <t>P0037</t>
  </si>
  <si>
    <t>Product37</t>
  </si>
  <si>
    <t>Category05</t>
  </si>
  <si>
    <t>P0038</t>
  </si>
  <si>
    <t>Product38</t>
  </si>
  <si>
    <t>P0039</t>
  </si>
  <si>
    <t>Product39</t>
  </si>
  <si>
    <t>P0040</t>
  </si>
  <si>
    <t>Product40</t>
  </si>
  <si>
    <t>P0041</t>
  </si>
  <si>
    <t>Product41</t>
  </si>
  <si>
    <t>P0042</t>
  </si>
  <si>
    <t>Product42</t>
  </si>
  <si>
    <t>P0043</t>
  </si>
  <si>
    <t>Product43</t>
  </si>
  <si>
    <t>P0044</t>
  </si>
  <si>
    <t>Product44</t>
  </si>
  <si>
    <t>DATE</t>
  </si>
  <si>
    <t>QUANTITY</t>
  </si>
  <si>
    <t>SALE TYPE</t>
  </si>
  <si>
    <t>PAYMENT MODE</t>
  </si>
  <si>
    <t>DISCOUNT %</t>
  </si>
  <si>
    <t>Wholesaler</t>
  </si>
  <si>
    <t>Online</t>
  </si>
  <si>
    <t>Cash</t>
  </si>
  <si>
    <t>Direct Sales</t>
  </si>
  <si>
    <t>Lt</t>
  </si>
  <si>
    <t>Ft</t>
  </si>
  <si>
    <t>No.</t>
  </si>
  <si>
    <t>P0045</t>
  </si>
  <si>
    <t>Product45</t>
  </si>
  <si>
    <t>Total Buying Value</t>
  </si>
  <si>
    <t>Total Selling Value</t>
  </si>
  <si>
    <t>Day</t>
  </si>
  <si>
    <t>Month</t>
  </si>
  <si>
    <t>Year</t>
  </si>
  <si>
    <t>Row Labels</t>
  </si>
  <si>
    <t>Sum of Total Selling Value</t>
  </si>
  <si>
    <t>Sum of Total Buying Value</t>
  </si>
  <si>
    <t>Jan</t>
  </si>
  <si>
    <t>Feb</t>
  </si>
  <si>
    <t>Mar</t>
  </si>
  <si>
    <t>Apr</t>
  </si>
  <si>
    <t>May</t>
  </si>
  <si>
    <t>Jun</t>
  </si>
  <si>
    <t>Jul</t>
  </si>
  <si>
    <t>Aug</t>
  </si>
  <si>
    <t>Sep</t>
  </si>
  <si>
    <t>Oct</t>
  </si>
  <si>
    <t>Nov</t>
  </si>
  <si>
    <t>Dec</t>
  </si>
  <si>
    <t>Sum of QUANTITY</t>
  </si>
  <si>
    <t>Total Sales</t>
  </si>
  <si>
    <t>Total Profit</t>
  </si>
  <si>
    <t xml:space="preserve">Profit % </t>
  </si>
  <si>
    <t>Sales</t>
  </si>
  <si>
    <t>Profit</t>
  </si>
  <si>
    <t>Profit %</t>
  </si>
  <si>
    <t>Column1</t>
  </si>
  <si>
    <t>Grand Total</t>
  </si>
  <si>
    <t>Column Labels</t>
  </si>
  <si>
    <t>(All)</t>
  </si>
  <si>
    <t>2021</t>
  </si>
  <si>
    <t>2022</t>
  </si>
  <si>
    <t>Count of PAYMENT MODE</t>
  </si>
  <si>
    <t>Total Products</t>
  </si>
  <si>
    <t>Average Buying Price</t>
  </si>
  <si>
    <t>Profit Margin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</si>
</sst>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
    <numFmt numFmtId="165" formatCode="[$$-409]#,##0.00"/>
    <numFmt numFmtId="166" formatCode="[$$-409]#,##0"/>
    <numFmt numFmtId="167" formatCode="_ [$₹-4009]\ * #,##0.00_ ;_ [$₹-4009]\ * \-#,##0.00_ ;_ [$₹-4009]\ * &quot;-&quot;??_ ;_ @_ "/>
  </numFmts>
  <fonts count="3" x14ac:knownFonts="1">
    <font>
      <sz val="11"/>
      <color theme="1"/>
      <name val="Calibri"/>
      <family val="2"/>
      <scheme val="minor"/>
    </font>
    <font>
      <b/>
      <sz val="11"/>
      <color rgb="FF7030A0"/>
      <name val="Calibri"/>
      <family val="2"/>
      <scheme val="minor"/>
    </font>
    <font>
      <sz val="11"/>
      <color theme="1"/>
      <name val="Calibri"/>
      <family val="2"/>
      <scheme val="minor"/>
    </font>
  </fonts>
  <fills count="5">
    <fill>
      <patternFill patternType="none"/>
    </fill>
    <fill>
      <patternFill patternType="gray125"/>
    </fill>
    <fill>
      <patternFill patternType="solid">
        <fgColor rgb="FFE1CCF0"/>
        <bgColor indexed="64"/>
      </patternFill>
    </fill>
    <fill>
      <patternFill patternType="solid">
        <fgColor rgb="FFD1B2E8"/>
        <bgColor indexed="64"/>
      </patternFill>
    </fill>
    <fill>
      <patternFill patternType="solid">
        <fgColor theme="0"/>
        <bgColor indexed="64"/>
      </patternFill>
    </fill>
  </fills>
  <borders count="2">
    <border>
      <left/>
      <right/>
      <top/>
      <bottom/>
      <diagonal/>
    </border>
    <border>
      <left/>
      <right/>
      <top/>
      <bottom style="medium">
        <color rgb="FF7030A0"/>
      </bottom>
      <diagonal/>
    </border>
  </borders>
  <cellStyleXfs count="2">
    <xf numFmtId="0" fontId="0" fillId="0" borderId="0"/>
    <xf numFmtId="9" fontId="2" fillId="0" borderId="0" applyFont="0" applyFill="0" applyBorder="0" applyAlignment="0" applyProtection="0"/>
  </cellStyleXfs>
  <cellXfs count="17">
    <xf numFmtId="0" fontId="0" fillId="0" borderId="0" xfId="0"/>
    <xf numFmtId="0" fontId="1" fillId="2" borderId="1" xfId="0" applyFont="1" applyFill="1" applyBorder="1" applyAlignment="1">
      <alignment horizontal="center" vertical="center"/>
    </xf>
    <xf numFmtId="0" fontId="1" fillId="3" borderId="1" xfId="0" applyFont="1" applyFill="1" applyBorder="1" applyAlignment="1">
      <alignment horizontal="center" vertical="center"/>
    </xf>
    <xf numFmtId="165" fontId="1" fillId="3" borderId="1" xfId="0" applyNumberFormat="1" applyFont="1" applyFill="1" applyBorder="1" applyAlignment="1">
      <alignment horizontal="center" vertical="center"/>
    </xf>
    <xf numFmtId="165" fontId="0" fillId="0" borderId="0" xfId="0" applyNumberFormat="1"/>
    <xf numFmtId="0" fontId="0" fillId="0" borderId="0" xfId="0" pivotButton="1"/>
    <xf numFmtId="0" fontId="0" fillId="0" borderId="0" xfId="0" applyAlignment="1">
      <alignment horizontal="left"/>
    </xf>
    <xf numFmtId="0" fontId="0" fillId="0" borderId="0" xfId="0" applyAlignment="1">
      <alignment wrapText="1"/>
    </xf>
    <xf numFmtId="9" fontId="0" fillId="0" borderId="0" xfId="0" applyNumberFormat="1"/>
    <xf numFmtId="166" fontId="0" fillId="0" borderId="0" xfId="0" applyNumberFormat="1"/>
    <xf numFmtId="14" fontId="0" fillId="4" borderId="0" xfId="0" applyNumberFormat="1" applyFill="1"/>
    <xf numFmtId="0" fontId="0" fillId="4" borderId="0" xfId="0" applyFill="1" applyAlignment="1">
      <alignment horizontal="center" vertical="center"/>
    </xf>
    <xf numFmtId="0" fontId="0" fillId="4" borderId="0" xfId="0" applyFill="1"/>
    <xf numFmtId="164" fontId="0" fillId="4" borderId="0" xfId="0" applyNumberFormat="1" applyFill="1"/>
    <xf numFmtId="165" fontId="0" fillId="4" borderId="0" xfId="0" applyNumberFormat="1" applyFill="1"/>
    <xf numFmtId="167" fontId="0" fillId="0" borderId="0" xfId="0" applyNumberFormat="1"/>
    <xf numFmtId="9" fontId="0" fillId="0" borderId="0" xfId="1" applyFont="1"/>
  </cellXfs>
  <cellStyles count="2">
    <cellStyle name="Normal" xfId="0" builtinId="0"/>
    <cellStyle name="Percent" xfId="1" builtinId="5"/>
  </cellStyles>
  <dxfs count="65">
    <dxf>
      <numFmt numFmtId="0" formatCode="General"/>
      <fill>
        <patternFill patternType="none">
          <fgColor indexed="64"/>
          <bgColor auto="1"/>
        </patternFill>
      </fill>
    </dxf>
    <dxf>
      <numFmt numFmtId="0" formatCode="General"/>
      <fill>
        <patternFill patternType="none">
          <fgColor indexed="64"/>
          <bgColor auto="1"/>
        </patternFill>
      </fill>
    </dxf>
    <dxf>
      <numFmt numFmtId="0" formatCode="General"/>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border outline="0">
        <bottom style="medium">
          <color rgb="FF7030A0"/>
        </bottom>
      </border>
    </dxf>
    <dxf>
      <font>
        <b/>
        <i val="0"/>
        <strike val="0"/>
        <condense val="0"/>
        <extend val="0"/>
        <outline val="0"/>
        <shadow val="0"/>
        <u val="none"/>
        <vertAlign val="baseline"/>
        <sz val="11"/>
        <color rgb="FF7030A0"/>
        <name val="Calibri"/>
        <family val="2"/>
        <scheme val="minor"/>
      </font>
      <fill>
        <patternFill patternType="solid">
          <fgColor indexed="64"/>
          <bgColor rgb="FFE1CCF0"/>
        </patternFill>
      </fill>
      <alignment horizontal="center" vertical="center" textRotation="0" wrapText="0" indent="0" justifyLastLine="0" shrinkToFit="0" readingOrder="0"/>
    </dxf>
    <dxf>
      <fill>
        <patternFill patternType="solid">
          <fgColor indexed="64"/>
          <bgColor theme="0"/>
        </patternFill>
      </fill>
    </dxf>
    <dxf>
      <numFmt numFmtId="0" formatCode="General"/>
      <fill>
        <patternFill patternType="solid">
          <fgColor indexed="64"/>
          <bgColor theme="0"/>
        </patternFill>
      </fill>
    </dxf>
    <dxf>
      <fill>
        <patternFill patternType="solid">
          <fgColor indexed="64"/>
          <bgColor theme="0"/>
        </patternFill>
      </fill>
    </dxf>
    <dxf>
      <numFmt numFmtId="0" formatCode="General"/>
      <fill>
        <patternFill patternType="solid">
          <fgColor indexed="64"/>
          <bgColor theme="0"/>
        </patternFill>
      </fill>
    </dxf>
    <dxf>
      <fill>
        <patternFill patternType="solid">
          <fgColor indexed="64"/>
          <bgColor theme="0"/>
        </patternFill>
      </fill>
    </dxf>
    <dxf>
      <numFmt numFmtId="0" formatCode="General"/>
      <fill>
        <patternFill patternType="solid">
          <fgColor indexed="64"/>
          <bgColor theme="0"/>
        </patternFill>
      </fill>
    </dxf>
    <dxf>
      <fill>
        <patternFill patternType="solid">
          <fgColor indexed="64"/>
          <bgColor theme="0"/>
        </patternFill>
      </fill>
    </dxf>
    <dxf>
      <numFmt numFmtId="165" formatCode="[$$-409]#,##0.00"/>
      <fill>
        <patternFill patternType="solid">
          <fgColor indexed="64"/>
          <bgColor theme="0"/>
        </patternFill>
      </fill>
    </dxf>
    <dxf>
      <fill>
        <patternFill patternType="solid">
          <fgColor indexed="64"/>
          <bgColor theme="0"/>
        </patternFill>
      </fill>
    </dxf>
    <dxf>
      <numFmt numFmtId="165" formatCode="[$$-409]#,##0.00"/>
      <fill>
        <patternFill patternType="solid">
          <fgColor indexed="64"/>
          <bgColor theme="0"/>
        </patternFill>
      </fill>
    </dxf>
    <dxf>
      <fill>
        <patternFill patternType="solid">
          <fgColor indexed="64"/>
          <bgColor theme="0"/>
        </patternFill>
      </fill>
    </dxf>
    <dxf>
      <numFmt numFmtId="165" formatCode="[$$-409]#,##0.00"/>
      <fill>
        <patternFill patternType="solid">
          <fgColor indexed="64"/>
          <bgColor theme="0"/>
        </patternFill>
      </fill>
    </dxf>
    <dxf>
      <fill>
        <patternFill patternType="solid">
          <fgColor indexed="64"/>
          <bgColor theme="0"/>
        </patternFill>
      </fill>
    </dxf>
    <dxf>
      <numFmt numFmtId="165" formatCode="[$$-409]#,##0.00"/>
      <fill>
        <patternFill patternType="solid">
          <fgColor indexed="64"/>
          <bgColor theme="0"/>
        </patternFill>
      </fill>
    </dxf>
    <dxf>
      <fill>
        <patternFill patternType="solid">
          <fgColor indexed="64"/>
          <bgColor theme="0"/>
        </patternFill>
      </fill>
    </dxf>
    <dxf>
      <numFmt numFmtId="0" formatCode="General"/>
      <fill>
        <patternFill patternType="solid">
          <fgColor indexed="64"/>
          <bgColor theme="0"/>
        </patternFill>
      </fill>
    </dxf>
    <dxf>
      <fill>
        <patternFill patternType="solid">
          <fgColor indexed="64"/>
          <bgColor theme="0"/>
        </patternFill>
      </fill>
    </dxf>
    <dxf>
      <numFmt numFmtId="0" formatCode="General"/>
      <fill>
        <patternFill patternType="solid">
          <fgColor indexed="64"/>
          <bgColor theme="0"/>
        </patternFill>
      </fill>
    </dxf>
    <dxf>
      <fill>
        <patternFill patternType="solid">
          <fgColor indexed="64"/>
          <bgColor theme="0"/>
        </patternFill>
      </fill>
    </dxf>
    <dxf>
      <numFmt numFmtId="0" formatCode="General"/>
      <fill>
        <patternFill patternType="solid">
          <fgColor indexed="64"/>
          <bgColor theme="0"/>
        </patternFill>
      </fill>
    </dxf>
    <dxf>
      <fill>
        <patternFill patternType="solid">
          <fgColor indexed="64"/>
          <bgColor theme="0"/>
        </patternFill>
      </fill>
    </dxf>
    <dxf>
      <numFmt numFmtId="164" formatCode="0.0%"/>
      <fill>
        <patternFill patternType="solid">
          <fgColor indexed="64"/>
          <bgColor theme="0"/>
        </patternFill>
      </fill>
    </dxf>
    <dxf>
      <fill>
        <patternFill patternType="solid">
          <fgColor indexed="64"/>
          <bgColor theme="0"/>
        </patternFill>
      </fill>
    </dxf>
    <dxf>
      <numFmt numFmtId="0" formatCode="General"/>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numFmt numFmtId="0" formatCode="General"/>
      <fill>
        <patternFill patternType="solid">
          <fgColor indexed="64"/>
          <bgColor theme="0"/>
        </patternFill>
      </fill>
    </dxf>
    <dxf>
      <fill>
        <patternFill patternType="solid">
          <fgColor indexed="64"/>
          <bgColor theme="0"/>
        </patternFill>
      </fill>
      <alignment horizontal="center" vertical="center" textRotation="0" wrapText="0" indent="0" justifyLastLine="0" shrinkToFit="0" readingOrder="0"/>
    </dxf>
    <dxf>
      <numFmt numFmtId="0" formatCode="General"/>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dxf>
    <dxf>
      <numFmt numFmtId="19" formatCode="dd/mm/yyyy"/>
      <fill>
        <patternFill patternType="solid">
          <fgColor indexed="64"/>
          <bgColor theme="0"/>
        </patternFill>
      </fill>
    </dxf>
    <dxf>
      <fill>
        <patternFill patternType="solid">
          <fgColor indexed="64"/>
          <bgColor theme="0"/>
        </patternFill>
      </fill>
    </dxf>
    <dxf>
      <border outline="0">
        <bottom style="medium">
          <color rgb="FF7030A0"/>
        </bottom>
      </border>
    </dxf>
    <dxf>
      <font>
        <b/>
        <i val="0"/>
        <strike val="0"/>
        <condense val="0"/>
        <extend val="0"/>
        <outline val="0"/>
        <shadow val="0"/>
        <u val="none"/>
        <vertAlign val="baseline"/>
        <sz val="11"/>
        <color rgb="FF7030A0"/>
        <name val="Calibri"/>
        <family val="2"/>
        <scheme val="minor"/>
      </font>
      <fill>
        <patternFill patternType="solid">
          <fgColor indexed="64"/>
          <bgColor rgb="FFD1B2E8"/>
        </patternFill>
      </fill>
      <alignment horizontal="center" vertical="center" textRotation="0" wrapText="0" indent="0" justifyLastLine="0" shrinkToFit="0" readingOrder="0"/>
    </dxf>
    <dxf>
      <alignment wrapText="1"/>
    </dxf>
    <dxf>
      <numFmt numFmtId="165" formatCode="[$$-409]#,##0.00"/>
    </dxf>
    <dxf>
      <alignment wrapText="1"/>
    </dxf>
    <dxf>
      <alignment wrapText="1"/>
    </dxf>
    <dxf>
      <alignment wrapText="1"/>
    </dxf>
    <dxf>
      <alignment wrapText="1"/>
    </dxf>
    <dxf>
      <alignment wrapText="1"/>
    </dxf>
    <dxf>
      <alignment wrapText="1"/>
    </dxf>
    <dxf>
      <font>
        <b/>
        <i val="0"/>
        <color rgb="FFFF5050"/>
      </font>
      <fill>
        <patternFill patternType="solid">
          <fgColor auto="1"/>
          <bgColor rgb="FFFF5050"/>
        </patternFill>
      </fill>
      <border diagonalDown="1">
        <diagonal style="thin">
          <color auto="1"/>
        </diagonal>
      </border>
    </dxf>
    <dxf>
      <font>
        <b/>
        <i val="0"/>
        <strike val="0"/>
        <color rgb="FFFF5050"/>
      </font>
      <fill>
        <patternFill>
          <bgColor rgb="FFFF5050"/>
        </patternFill>
      </fill>
    </dxf>
    <dxf>
      <font>
        <b/>
        <i val="0"/>
        <color rgb="FFFF5050"/>
      </font>
    </dxf>
    <dxf>
      <font>
        <b/>
        <i val="0"/>
        <color rgb="FFFF5050"/>
      </font>
    </dxf>
    <dxf>
      <font>
        <b val="0"/>
        <i val="0"/>
        <sz val="10"/>
        <color rgb="FFFF5050"/>
        <name val="Arial Black"/>
        <family val="2"/>
        <scheme val="none"/>
      </font>
      <fill>
        <patternFill>
          <bgColor theme="9"/>
        </patternFill>
      </fill>
      <border diagonalUp="0" diagonalDown="0">
        <left/>
        <right/>
        <top/>
        <bottom/>
        <vertical/>
        <horizontal/>
      </border>
    </dxf>
    <dxf>
      <font>
        <sz val="9"/>
        <color theme="0"/>
        <name val="Poppins"/>
      </font>
      <fill>
        <patternFill>
          <bgColor theme="9"/>
        </patternFill>
      </fill>
      <border diagonalUp="0" diagonalDown="0">
        <left/>
        <right/>
        <top/>
        <bottom/>
        <vertical/>
        <horizontal/>
      </border>
    </dxf>
    <dxf>
      <font>
        <b val="0"/>
        <i val="0"/>
        <sz val="10"/>
        <color theme="0"/>
        <name val="Arial Black"/>
        <family val="2"/>
        <scheme val="none"/>
      </font>
      <fill>
        <patternFill>
          <bgColor theme="1" tint="0.14996795556505021"/>
        </patternFill>
      </fill>
      <border diagonalUp="0" diagonalDown="0">
        <left/>
        <right/>
        <top/>
        <bottom/>
        <vertical/>
        <horizontal/>
      </border>
    </dxf>
    <dxf>
      <font>
        <b val="0"/>
        <i val="0"/>
        <sz val="9"/>
        <color rgb="FFFF5050"/>
        <name val="Arial Black"/>
        <family val="2"/>
        <scheme val="none"/>
      </font>
      <fill>
        <patternFill>
          <bgColor theme="1" tint="0.14996795556505021"/>
        </patternFill>
      </fill>
      <border diagonalUp="0" diagonalDown="0">
        <left/>
        <right/>
        <top/>
        <bottom/>
        <vertical/>
        <horizontal/>
      </border>
    </dxf>
    <dxf>
      <font>
        <b val="0"/>
        <i val="0"/>
        <sz val="10"/>
        <color theme="0"/>
        <name val="Arial Black"/>
        <family val="2"/>
        <scheme val="none"/>
      </font>
      <fill>
        <patternFill>
          <bgColor theme="8"/>
        </patternFill>
      </fill>
      <border diagonalUp="0" diagonalDown="0">
        <left/>
        <right/>
        <top/>
        <bottom/>
        <vertical/>
        <horizontal/>
      </border>
    </dxf>
    <dxf>
      <font>
        <sz val="9"/>
        <color theme="0"/>
        <name val="Arial"/>
        <family val="2"/>
        <scheme val="none"/>
      </font>
      <fill>
        <patternFill patternType="solid">
          <bgColor theme="1" tint="0.14996795556505021"/>
        </patternFill>
      </fill>
      <border diagonalUp="0" diagonalDown="0">
        <left/>
        <right/>
        <top/>
        <bottom/>
        <vertical/>
        <horizontal/>
      </border>
    </dxf>
    <dxf>
      <font>
        <b/>
        <i val="0"/>
        <sz val="10"/>
        <color theme="0"/>
        <name val="Poppins"/>
      </font>
      <fill>
        <patternFill>
          <bgColor theme="9"/>
        </patternFill>
      </fill>
      <border diagonalUp="0" diagonalDown="0">
        <left/>
        <right/>
        <top/>
        <bottom/>
        <vertical/>
        <horizontal/>
      </border>
    </dxf>
    <dxf>
      <font>
        <sz val="9"/>
        <color theme="0"/>
        <name val="Poppins"/>
      </font>
      <fill>
        <patternFill>
          <bgColor theme="9"/>
        </patternFill>
      </fill>
      <border diagonalUp="0" diagonalDown="0">
        <left/>
        <right/>
        <top/>
        <bottom/>
        <vertical/>
        <horizontal/>
      </border>
    </dxf>
  </dxfs>
  <tableStyles count="10" defaultTableStyle="TableStyleMedium2" defaultPivotStyle="PivotStyleLight16">
    <tableStyle name="SLICER" pivot="0" table="0" count="10" xr9:uid="{C2F4C036-8D81-403F-996E-142D1BF5CBC0}">
      <tableStyleElement type="wholeTable" dxfId="64"/>
      <tableStyleElement type="headerRow" dxfId="63"/>
    </tableStyle>
    <tableStyle name="SLICER " pivot="0" table="0" count="10" xr9:uid="{5DC63536-3E54-4B70-A2B5-E63C01DFCC3D}">
      <tableStyleElement type="wholeTable" dxfId="62"/>
      <tableStyleElement type="headerRow" dxfId="61"/>
    </tableStyle>
    <tableStyle name="SLICER 2" pivot="0" table="0" count="10" xr9:uid="{08777E90-8CDA-4FDB-946A-E61C41073623}">
      <tableStyleElement type="wholeTable" dxfId="60"/>
      <tableStyleElement type="headerRow" dxfId="59"/>
    </tableStyle>
    <tableStyle name="SLICER 3" pivot="0" table="0" count="10" xr9:uid="{62856E76-28AC-4AEA-8C9E-C51D4CC7B1CD}">
      <tableStyleElement type="wholeTable" dxfId="58"/>
      <tableStyleElement type="headerRow" dxfId="57"/>
    </tableStyle>
    <tableStyle name="Slicer Style 1" pivot="0" table="0" count="0" xr9:uid="{2766830C-7D68-4A73-8E33-B2CF4700DA5D}"/>
    <tableStyle name="Slicer Style 2" pivot="0" table="0" count="1" xr9:uid="{DE308A14-573D-4441-8FBE-C2E7D82B4C89}">
      <tableStyleElement type="wholeTable" dxfId="56"/>
    </tableStyle>
    <tableStyle name="Slicer Style 3" pivot="0" table="0" count="1" xr9:uid="{8B58E737-16D2-4319-996F-66460784355E}">
      <tableStyleElement type="wholeTable" dxfId="55"/>
    </tableStyle>
    <tableStyle name="Slicer Style 4" pivot="0" table="0" count="1" xr9:uid="{7D3ED830-1247-4C7A-B689-8EC20139FEA9}"/>
    <tableStyle name="Slicer Style 5" pivot="0" table="0" count="1" xr9:uid="{29B88AF6-C4EF-422F-8B75-C338B566287B}">
      <tableStyleElement type="wholeTable" dxfId="54"/>
    </tableStyle>
    <tableStyle name="Slicer Style 6" pivot="0" table="0" count="1" xr9:uid="{2579B756-9F30-4B90-AFCC-82F732E5F92E}">
      <tableStyleElement type="wholeTable" dxfId="53"/>
    </tableStyle>
  </tableStyles>
  <colors>
    <mruColors>
      <color rgb="FFFF5050"/>
      <color rgb="FFCC0000"/>
      <color rgb="FFE2AC00"/>
      <color rgb="FF00863D"/>
    </mruColors>
  </colors>
  <extLst>
    <ext xmlns:x14="http://schemas.microsoft.com/office/spreadsheetml/2009/9/main" uri="{46F421CA-312F-682f-3DD2-61675219B42D}">
      <x14:dxfs count="33">
        <dxf>
          <font>
            <b/>
            <i val="0"/>
            <color rgb="FFFF5050"/>
          </font>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 Style 3">
        <x14:slicerStyle name="SLICER">
          <x14:slicerStyleElements>
            <x14:slicerStyleElement type="unselectedItemWithData" dxfId="32"/>
            <x14:slicerStyleElement type="unselectedItemWithNoData" dxfId="31"/>
            <x14:slicerStyleElement type="selectedItemWithData" dxfId="30"/>
            <x14:slicerStyleElement type="selectedItemWithNoData" dxfId="29"/>
            <x14:slicerStyleElement type="hoveredUnselectedItemWithData" dxfId="28"/>
            <x14:slicerStyleElement type="hoveredSelectedItemWithData" dxfId="27"/>
            <x14:slicerStyleElement type="hoveredUnselectedItemWithNoData" dxfId="26"/>
            <x14:slicerStyleElement type="hoveredSelectedItemWithNoData" dxfId="25"/>
          </x14:slicerStyleElements>
        </x14:slicerStyle>
        <x14:slicerStyle name="SLICER ">
          <x14:slicerStyleElements>
            <x14:slicerStyleElement type="unselectedItemWithData" dxfId="24"/>
            <x14:slicerStyleElement type="unselectedItemWithNoData" dxfId="23"/>
            <x14:slicerStyleElement type="selectedItemWithData" dxfId="22"/>
            <x14:slicerStyleElement type="selectedItemWithNoData" dxfId="21"/>
            <x14:slicerStyleElement type="hoveredUnselectedItemWithData" dxfId="20"/>
            <x14:slicerStyleElement type="hoveredSelectedItemWithData" dxfId="19"/>
            <x14:slicerStyleElement type="hoveredUnselectedItemWithNoData" dxfId="18"/>
            <x14:slicerStyleElement type="hoveredSelectedItemWithNoData" dxfId="17"/>
          </x14:slicerStyleElements>
        </x14:slicerStyle>
        <x14:slicerStyle name="SLICER 2">
          <x14:slicerStyleElements>
            <x14:slicerStyleElement type="unselectedItemWithData" dxfId="16"/>
            <x14:slicerStyleElement type="unselectedItemWithNoData" dxfId="15"/>
            <x14:slicerStyleElement type="selectedItemWithData" dxfId="14"/>
            <x14:slicerStyleElement type="selectedItemWithNoData" dxfId="13"/>
            <x14:slicerStyleElement type="hoveredUnselectedItemWithData" dxfId="12"/>
            <x14:slicerStyleElement type="hoveredSelectedItemWithData" dxfId="11"/>
            <x14:slicerStyleElement type="hoveredUnselectedItemWithNoData" dxfId="10"/>
            <x14:slicerStyleElement type="hoveredSelectedItemWithNoData" dxfId="9"/>
          </x14:slicerStyleElements>
        </x14:slicerStyle>
        <x14:slicerStyle name="SLICER 3">
          <x14:slicerStyleElements>
            <x14:slicerStyleElement type="unselectedItemWithData" dxfId="8"/>
            <x14:slicerStyleElement type="unselectedItemWithNoData" dxfId="7"/>
            <x14:slicerStyleElement type="selectedItemWithData" dxfId="6"/>
            <x14:slicerStyleElement type="selectedItemWithNoData" dxfId="5"/>
            <x14:slicerStyleElement type="hoveredUnselectedItemWithData" dxfId="4"/>
            <x14:slicerStyleElement type="hoveredSelectedItemWithData" dxfId="3"/>
            <x14:slicerStyleElement type="hoveredUnselectedItemWithNoData" dxfId="2"/>
            <x14:slicerStyleElement type="hoveredSelectedItemWithNoData" dxfId="1"/>
          </x14:slicerStyleElements>
        </x14:slicerStyle>
        <x14:slicerStyle name="Slicer Style 1"/>
        <x14:slicerStyle name="Slicer Style 2"/>
        <x14:slicerStyle name="Slicer Style 3"/>
        <x14:slicerStyle name="Slicer Style 4">
          <x14:slicerStyleElements>
            <x14:slicerStyleElement type="selectedItemWithData" dxfId="0"/>
          </x14:slicerStyleElements>
        </x14:slicerStyle>
        <x14:slicerStyle name="Slicer Style 5"/>
        <x14:slicerStyle name="Slicer Style 6"/>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microsoft.com/office/2007/relationships/slicerCache" Target="slicerCaches/slicerCache5.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07/relationships/slicerCache" Target="slicerCaches/slicerCache8.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4.xml"/><Relationship Id="rId25" Type="http://schemas.openxmlformats.org/officeDocument/2006/relationships/sheetMetadata" Target="metadata.xml"/><Relationship Id="rId2" Type="http://schemas.openxmlformats.org/officeDocument/2006/relationships/worksheet" Target="worksheets/sheet2.xml"/><Relationship Id="rId16" Type="http://schemas.microsoft.com/office/2007/relationships/slicerCache" Target="slicerCaches/slicerCache3.xml"/><Relationship Id="rId20" Type="http://schemas.microsoft.com/office/2007/relationships/slicerCache" Target="slicerCaches/slicerCache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24" Type="http://schemas.openxmlformats.org/officeDocument/2006/relationships/sharedStrings" Target="sharedStrings.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styles" Target="styles.xml"/><Relationship Id="rId10" Type="http://schemas.openxmlformats.org/officeDocument/2006/relationships/worksheet" Target="worksheets/sheet10.xml"/><Relationship Id="rId19" Type="http://schemas.microsoft.com/office/2007/relationships/slicerCache" Target="slicerCaches/slicerCache6.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[Shruti Sudhir Gaikwad.xlsx]Analysis!PivotTable1</c:name>
    <c:fmtId val="0"/>
  </c:pivotSource>
  <c:chart>
    <c:autoTitleDeleted val="1"/>
    <c:pivotFmts>
      <c:pivotFmt>
        <c:idx val="0"/>
        <c:spPr>
          <a:solidFill>
            <a:schemeClr val="accent6">
              <a:alpha val="85000"/>
            </a:schemeClr>
          </a:solidFill>
          <a:ln w="25400">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pivotFmt>
    </c:pivotFmts>
    <c:plotArea>
      <c:layout>
        <c:manualLayout>
          <c:layoutTarget val="inner"/>
          <c:xMode val="edge"/>
          <c:yMode val="edge"/>
          <c:x val="0.18356236119523522"/>
          <c:y val="0.12672552960168684"/>
          <c:w val="0.75703591845539853"/>
          <c:h val="0.65465262139737335"/>
        </c:manualLayout>
      </c:layout>
      <c:areaChart>
        <c:grouping val="standard"/>
        <c:varyColors val="0"/>
        <c:ser>
          <c:idx val="0"/>
          <c:order val="0"/>
          <c:tx>
            <c:strRef>
              <c:f>Analysis!$B$1</c:f>
              <c:strCache>
                <c:ptCount val="1"/>
                <c:pt idx="0">
                  <c:v>Total</c:v>
                </c:pt>
              </c:strCache>
            </c:strRef>
          </c:tx>
          <c:spPr>
            <a:solidFill>
              <a:schemeClr val="accent6">
                <a:alpha val="85000"/>
              </a:schemeClr>
            </a:solidFill>
            <a:ln w="25400">
              <a:noFill/>
            </a:ln>
            <a:effectLst>
              <a:innerShdw dist="12700" dir="16200000">
                <a:schemeClr val="lt1"/>
              </a:innerShdw>
            </a:effectLst>
          </c:spPr>
          <c:cat>
            <c:strRef>
              <c:f>Analysis!$A$2:$A$16</c:f>
              <c:strCache>
                <c:ptCount val="15"/>
                <c:pt idx="0">
                  <c:v>1</c:v>
                </c:pt>
                <c:pt idx="1">
                  <c:v>2</c:v>
                </c:pt>
                <c:pt idx="2">
                  <c:v>3</c:v>
                </c:pt>
                <c:pt idx="3">
                  <c:v>4</c:v>
                </c:pt>
                <c:pt idx="4">
                  <c:v>9</c:v>
                </c:pt>
                <c:pt idx="5">
                  <c:v>11</c:v>
                </c:pt>
                <c:pt idx="6">
                  <c:v>12</c:v>
                </c:pt>
                <c:pt idx="7">
                  <c:v>18</c:v>
                </c:pt>
                <c:pt idx="8">
                  <c:v>19</c:v>
                </c:pt>
                <c:pt idx="9">
                  <c:v>20</c:v>
                </c:pt>
                <c:pt idx="10">
                  <c:v>21</c:v>
                </c:pt>
                <c:pt idx="11">
                  <c:v>25</c:v>
                </c:pt>
                <c:pt idx="12">
                  <c:v>26</c:v>
                </c:pt>
                <c:pt idx="13">
                  <c:v>27</c:v>
                </c:pt>
                <c:pt idx="14">
                  <c:v>28</c:v>
                </c:pt>
              </c:strCache>
            </c:strRef>
          </c:cat>
          <c:val>
            <c:numRef>
              <c:f>Analysis!$B$2:$B$16</c:f>
              <c:numCache>
                <c:formatCode>[$$-409]#,##0.00</c:formatCode>
                <c:ptCount val="15"/>
                <c:pt idx="0">
                  <c:v>1296</c:v>
                </c:pt>
                <c:pt idx="1">
                  <c:v>1752</c:v>
                </c:pt>
                <c:pt idx="2">
                  <c:v>220</c:v>
                </c:pt>
                <c:pt idx="3">
                  <c:v>60</c:v>
                </c:pt>
                <c:pt idx="4">
                  <c:v>689</c:v>
                </c:pt>
                <c:pt idx="5">
                  <c:v>1129</c:v>
                </c:pt>
                <c:pt idx="6">
                  <c:v>1200</c:v>
                </c:pt>
                <c:pt idx="7">
                  <c:v>1411</c:v>
                </c:pt>
                <c:pt idx="8">
                  <c:v>30</c:v>
                </c:pt>
                <c:pt idx="9">
                  <c:v>464</c:v>
                </c:pt>
                <c:pt idx="10">
                  <c:v>2019</c:v>
                </c:pt>
                <c:pt idx="11">
                  <c:v>1667</c:v>
                </c:pt>
                <c:pt idx="12">
                  <c:v>1895</c:v>
                </c:pt>
                <c:pt idx="13">
                  <c:v>897</c:v>
                </c:pt>
                <c:pt idx="14">
                  <c:v>534</c:v>
                </c:pt>
              </c:numCache>
            </c:numRef>
          </c:val>
          <c:extLst>
            <c:ext xmlns:c16="http://schemas.microsoft.com/office/drawing/2014/chart" uri="{C3380CC4-5D6E-409C-BE32-E72D297353CC}">
              <c16:uniqueId val="{00000000-F61C-4162-BF17-D8A3210BD788}"/>
            </c:ext>
          </c:extLst>
        </c:ser>
        <c:dLbls>
          <c:showLegendKey val="0"/>
          <c:showVal val="0"/>
          <c:showCatName val="0"/>
          <c:showSerName val="0"/>
          <c:showPercent val="0"/>
          <c:showBubbleSize val="0"/>
        </c:dLbls>
        <c:axId val="1840557039"/>
        <c:axId val="132638223"/>
      </c:areaChart>
      <c:catAx>
        <c:axId val="184055703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2638223"/>
        <c:crosses val="autoZero"/>
        <c:auto val="1"/>
        <c:lblAlgn val="ctr"/>
        <c:lblOffset val="100"/>
        <c:noMultiLvlLbl val="0"/>
      </c:catAx>
      <c:valAx>
        <c:axId val="132638223"/>
        <c:scaling>
          <c:orientation val="minMax"/>
        </c:scaling>
        <c:delete val="0"/>
        <c:axPos val="l"/>
        <c:numFmt formatCode="[$$-409]#,##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840557039"/>
        <c:crosses val="autoZero"/>
        <c:crossBetween val="midCat"/>
      </c:valAx>
      <c:spPr>
        <a:solidFill>
          <a:schemeClr val="bg1"/>
        </a:solidFill>
        <a:ln>
          <a:noFill/>
        </a:ln>
        <a:effectLst/>
        <a:scene3d>
          <a:camera prst="orthographicFront"/>
          <a:lightRig rig="threePt" dir="t"/>
        </a:scene3d>
        <a:sp3d prstMaterial="matte">
          <a:bevelT w="63500" h="63500" prst="artDeco"/>
          <a:contourClr>
            <a:srgbClr val="000000"/>
          </a:contourClr>
        </a:sp3d>
      </c:spPr>
    </c:plotArea>
    <c:legend>
      <c:legendPos val="tr"/>
      <c:layout>
        <c:manualLayout>
          <c:xMode val="edge"/>
          <c:yMode val="edge"/>
          <c:x val="0.82699744168214928"/>
          <c:y val="3.2467532467532464E-2"/>
          <c:w val="0.15895761449762599"/>
          <c:h val="0.14407531444933019"/>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751531058617674"/>
          <c:y val="4.8179997237187459E-2"/>
          <c:w val="0.75132376031121106"/>
          <c:h val="0.80841306601380714"/>
        </c:manualLayout>
      </c:layout>
      <c:barChart>
        <c:barDir val="col"/>
        <c:grouping val="clustered"/>
        <c:varyColors val="0"/>
        <c:ser>
          <c:idx val="0"/>
          <c:order val="0"/>
          <c:tx>
            <c:strRef>
              <c:f>Analysis!$L$2</c:f>
              <c:strCache>
                <c:ptCount val="1"/>
                <c:pt idx="0">
                  <c:v>Sales</c:v>
                </c:pt>
              </c:strCache>
            </c:strRef>
          </c:tx>
          <c:spPr>
            <a:solidFill>
              <a:srgbClr val="FF0000"/>
            </a:solidFill>
            <a:ln>
              <a:noFill/>
            </a:ln>
            <a:effectLst/>
          </c:spPr>
          <c:invertIfNegative val="0"/>
          <c:dLbls>
            <c:delete val="1"/>
          </c:dLbls>
          <c:cat>
            <c:strRef>
              <c:f>Analysis!$K$3:$K$14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Analysis!$L$3:$L$14</c:f>
              <c:numCache>
                <c:formatCode>[$$-409]#,##0</c:formatCode>
                <c:ptCount val="12"/>
                <c:pt idx="0">
                  <c:v>15263</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0-DC4E-42E5-8805-E7C6C3C32798}"/>
            </c:ext>
          </c:extLst>
        </c:ser>
        <c:ser>
          <c:idx val="1"/>
          <c:order val="1"/>
          <c:tx>
            <c:strRef>
              <c:f>Analysis!$M$2</c:f>
              <c:strCache>
                <c:ptCount val="1"/>
                <c:pt idx="0">
                  <c:v>Profit</c:v>
                </c:pt>
              </c:strCache>
            </c:strRef>
          </c:tx>
          <c:spPr>
            <a:solidFill>
              <a:srgbClr val="FFC000"/>
            </a:solidFill>
            <a:ln>
              <a:noFill/>
            </a:ln>
            <a:effectLst/>
          </c:spPr>
          <c:invertIfNegative val="0"/>
          <c:dLbls>
            <c:dLbl>
              <c:idx val="0"/>
              <c:tx>
                <c:rich>
                  <a:bodyPr/>
                  <a:lstStyle/>
                  <a:p>
                    <a:fld id="{A35CB2D4-1CBA-4B64-A036-A40662DD00A6}"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DC4E-42E5-8805-E7C6C3C32798}"/>
                </c:ext>
              </c:extLst>
            </c:dLbl>
            <c:dLbl>
              <c:idx val="1"/>
              <c:tx>
                <c:rich>
                  <a:bodyPr/>
                  <a:lstStyle/>
                  <a:p>
                    <a:endParaRPr lang="en-IN"/>
                  </a:p>
                </c:rich>
              </c:tx>
              <c:dLblPos val="outEnd"/>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3-DC4E-42E5-8805-E7C6C3C32798}"/>
                </c:ext>
              </c:extLst>
            </c:dLbl>
            <c:dLbl>
              <c:idx val="2"/>
              <c:tx>
                <c:rich>
                  <a:bodyPr/>
                  <a:lstStyle/>
                  <a:p>
                    <a:endParaRPr lang="en-IN"/>
                  </a:p>
                </c:rich>
              </c:tx>
              <c:dLblPos val="outEnd"/>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4-DC4E-42E5-8805-E7C6C3C32798}"/>
                </c:ext>
              </c:extLst>
            </c:dLbl>
            <c:dLbl>
              <c:idx val="3"/>
              <c:tx>
                <c:rich>
                  <a:bodyPr/>
                  <a:lstStyle/>
                  <a:p>
                    <a:endParaRPr lang="en-IN"/>
                  </a:p>
                </c:rich>
              </c:tx>
              <c:dLblPos val="outEnd"/>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5-DC4E-42E5-8805-E7C6C3C32798}"/>
                </c:ext>
              </c:extLst>
            </c:dLbl>
            <c:dLbl>
              <c:idx val="4"/>
              <c:tx>
                <c:rich>
                  <a:bodyPr/>
                  <a:lstStyle/>
                  <a:p>
                    <a:endParaRPr lang="en-IN"/>
                  </a:p>
                </c:rich>
              </c:tx>
              <c:dLblPos val="outEnd"/>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6-DC4E-42E5-8805-E7C6C3C32798}"/>
                </c:ext>
              </c:extLst>
            </c:dLbl>
            <c:dLbl>
              <c:idx val="5"/>
              <c:tx>
                <c:rich>
                  <a:bodyPr/>
                  <a:lstStyle/>
                  <a:p>
                    <a:endParaRPr lang="en-IN"/>
                  </a:p>
                </c:rich>
              </c:tx>
              <c:dLblPos val="outEnd"/>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7-DC4E-42E5-8805-E7C6C3C32798}"/>
                </c:ext>
              </c:extLst>
            </c:dLbl>
            <c:dLbl>
              <c:idx val="6"/>
              <c:tx>
                <c:rich>
                  <a:bodyPr/>
                  <a:lstStyle/>
                  <a:p>
                    <a:endParaRPr lang="en-IN"/>
                  </a:p>
                </c:rich>
              </c:tx>
              <c:dLblPos val="outEnd"/>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8-DC4E-42E5-8805-E7C6C3C32798}"/>
                </c:ext>
              </c:extLst>
            </c:dLbl>
            <c:dLbl>
              <c:idx val="7"/>
              <c:tx>
                <c:rich>
                  <a:bodyPr/>
                  <a:lstStyle/>
                  <a:p>
                    <a:endParaRPr lang="en-IN"/>
                  </a:p>
                </c:rich>
              </c:tx>
              <c:dLblPos val="outEnd"/>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9-DC4E-42E5-8805-E7C6C3C32798}"/>
                </c:ext>
              </c:extLst>
            </c:dLbl>
            <c:dLbl>
              <c:idx val="8"/>
              <c:tx>
                <c:rich>
                  <a:bodyPr/>
                  <a:lstStyle/>
                  <a:p>
                    <a:endParaRPr lang="en-IN"/>
                  </a:p>
                </c:rich>
              </c:tx>
              <c:dLblPos val="outEnd"/>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A-DC4E-42E5-8805-E7C6C3C32798}"/>
                </c:ext>
              </c:extLst>
            </c:dLbl>
            <c:dLbl>
              <c:idx val="9"/>
              <c:tx>
                <c:rich>
                  <a:bodyPr/>
                  <a:lstStyle/>
                  <a:p>
                    <a:endParaRPr lang="en-IN"/>
                  </a:p>
                </c:rich>
              </c:tx>
              <c:dLblPos val="outEnd"/>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B-DC4E-42E5-8805-E7C6C3C32798}"/>
                </c:ext>
              </c:extLst>
            </c:dLbl>
            <c:dLbl>
              <c:idx val="10"/>
              <c:tx>
                <c:rich>
                  <a:bodyPr/>
                  <a:lstStyle/>
                  <a:p>
                    <a:endParaRPr lang="en-IN"/>
                  </a:p>
                </c:rich>
              </c:tx>
              <c:dLblPos val="outEnd"/>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C-DC4E-42E5-8805-E7C6C3C32798}"/>
                </c:ext>
              </c:extLst>
            </c:dLbl>
            <c:dLbl>
              <c:idx val="11"/>
              <c:tx>
                <c:rich>
                  <a:bodyPr/>
                  <a:lstStyle/>
                  <a:p>
                    <a:endParaRPr lang="en-IN"/>
                  </a:p>
                </c:rich>
              </c:tx>
              <c:dLblPos val="outEnd"/>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D-DC4E-42E5-8805-E7C6C3C3279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Analysis!$K$3:$K$14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Analysis!$M$3:$M$14</c:f>
              <c:numCache>
                <c:formatCode>[$$-409]#,##0</c:formatCode>
                <c:ptCount val="12"/>
                <c:pt idx="0">
                  <c:v>0</c:v>
                </c:pt>
                <c:pt idx="1">
                  <c:v>#N/A</c:v>
                </c:pt>
                <c:pt idx="2">
                  <c:v>#N/A</c:v>
                </c:pt>
                <c:pt idx="3">
                  <c:v>#N/A</c:v>
                </c:pt>
                <c:pt idx="4">
                  <c:v>#N/A</c:v>
                </c:pt>
                <c:pt idx="5">
                  <c:v>#N/A</c:v>
                </c:pt>
                <c:pt idx="6">
                  <c:v>#N/A</c:v>
                </c:pt>
                <c:pt idx="7">
                  <c:v>#N/A</c:v>
                </c:pt>
                <c:pt idx="8">
                  <c:v>#N/A</c:v>
                </c:pt>
                <c:pt idx="9">
                  <c:v>#N/A</c:v>
                </c:pt>
                <c:pt idx="10">
                  <c:v>#N/A</c:v>
                </c:pt>
                <c:pt idx="11">
                  <c:v>#N/A</c:v>
                </c:pt>
              </c:numCache>
            </c:numRef>
          </c:val>
          <c:extLst>
            <c:ext xmlns:c15="http://schemas.microsoft.com/office/drawing/2012/chart" uri="{02D57815-91ED-43cb-92C2-25804820EDAC}">
              <c15:datalabelsRange>
                <c15:f>Analysis!$N$3:$N$14</c15:f>
                <c15:dlblRangeCache>
                  <c:ptCount val="12"/>
                  <c:pt idx="0">
                    <c:v>0%</c:v>
                  </c:pt>
                  <c:pt idx="1">
                    <c:v>#N/A</c:v>
                  </c:pt>
                  <c:pt idx="2">
                    <c:v>#N/A</c:v>
                  </c:pt>
                  <c:pt idx="3">
                    <c:v>#N/A</c:v>
                  </c:pt>
                  <c:pt idx="4">
                    <c:v>#N/A</c:v>
                  </c:pt>
                  <c:pt idx="5">
                    <c:v>#N/A</c:v>
                  </c:pt>
                  <c:pt idx="6">
                    <c:v>#N/A</c:v>
                  </c:pt>
                  <c:pt idx="7">
                    <c:v>#N/A</c:v>
                  </c:pt>
                  <c:pt idx="8">
                    <c:v>#N/A</c:v>
                  </c:pt>
                  <c:pt idx="9">
                    <c:v>#N/A</c:v>
                  </c:pt>
                  <c:pt idx="10">
                    <c:v>#N/A</c:v>
                  </c:pt>
                  <c:pt idx="11">
                    <c:v>#N/A</c:v>
                  </c:pt>
                </c15:dlblRangeCache>
              </c15:datalabelsRange>
            </c:ext>
            <c:ext xmlns:c16="http://schemas.microsoft.com/office/drawing/2014/chart" uri="{C3380CC4-5D6E-409C-BE32-E72D297353CC}">
              <c16:uniqueId val="{00000001-DC4E-42E5-8805-E7C6C3C32798}"/>
            </c:ext>
          </c:extLst>
        </c:ser>
        <c:dLbls>
          <c:dLblPos val="outEnd"/>
          <c:showLegendKey val="0"/>
          <c:showVal val="1"/>
          <c:showCatName val="0"/>
          <c:showSerName val="0"/>
          <c:showPercent val="0"/>
          <c:showBubbleSize val="0"/>
        </c:dLbls>
        <c:gapWidth val="50"/>
        <c:overlap val="100"/>
        <c:axId val="2073337183"/>
        <c:axId val="2073334303"/>
      </c:barChart>
      <c:catAx>
        <c:axId val="207333718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73334303"/>
        <c:crosses val="autoZero"/>
        <c:auto val="1"/>
        <c:lblAlgn val="ctr"/>
        <c:lblOffset val="100"/>
        <c:noMultiLvlLbl val="0"/>
      </c:catAx>
      <c:valAx>
        <c:axId val="2073334303"/>
        <c:scaling>
          <c:orientation val="minMax"/>
        </c:scaling>
        <c:delete val="0"/>
        <c:axPos val="l"/>
        <c:numFmt formatCode="[$$-409]#,##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73337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bg1"/>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a:glow rad="127000">
        <a:schemeClr val="bg2"/>
      </a:glow>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autoTitleDeleted val="1"/>
    <c:plotArea>
      <c:layout>
        <c:manualLayout>
          <c:layoutTarget val="inner"/>
          <c:xMode val="edge"/>
          <c:yMode val="edge"/>
          <c:x val="0.15233828366390911"/>
          <c:y val="8.9840891238960094E-2"/>
          <c:w val="0.84766171633609089"/>
          <c:h val="0.84532923348085132"/>
        </c:manualLayout>
      </c:layout>
      <c:barChart>
        <c:barDir val="bar"/>
        <c:grouping val="clustered"/>
        <c:varyColors val="0"/>
        <c:ser>
          <c:idx val="0"/>
          <c:order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invertIfNegative val="0"/>
          <c:dLbls>
            <c:spPr>
              <a:gradFill>
                <a:gsLst>
                  <a:gs pos="0">
                    <a:scrgbClr r="0" g="0" b="0"/>
                  </a:gs>
                  <a:gs pos="0">
                    <a:scrgbClr r="0" g="0" b="0"/>
                  </a:gs>
                  <a:gs pos="0">
                    <a:srgbClr val="FF0000"/>
                  </a:gs>
                  <a:gs pos="0">
                    <a:srgbClr val="FF0000"/>
                  </a:gs>
                  <a:gs pos="0">
                    <a:srgbClr val="FF0000"/>
                  </a:gs>
                  <a:gs pos="0">
                    <a:schemeClr val="bg1"/>
                  </a:gs>
                  <a:gs pos="0">
                    <a:srgbClr val="FF0000"/>
                  </a:gs>
                  <a:gs pos="0">
                    <a:srgbClr val="FFFF00"/>
                  </a:gs>
                </a:gsLst>
                <a:lin ang="0" scaled="0"/>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Analysis!$Y$2:$Y$11</c:f>
              <c:strCache>
                <c:ptCount val="10"/>
                <c:pt idx="0">
                  <c:v>Product01</c:v>
                </c:pt>
                <c:pt idx="1">
                  <c:v>Product03</c:v>
                </c:pt>
                <c:pt idx="2">
                  <c:v>Product04</c:v>
                </c:pt>
                <c:pt idx="3">
                  <c:v>Product06</c:v>
                </c:pt>
                <c:pt idx="4">
                  <c:v>Product13</c:v>
                </c:pt>
                <c:pt idx="5">
                  <c:v>Product14</c:v>
                </c:pt>
                <c:pt idx="6">
                  <c:v>Product20</c:v>
                </c:pt>
                <c:pt idx="7">
                  <c:v>Product23</c:v>
                </c:pt>
                <c:pt idx="8">
                  <c:v>Product24</c:v>
                </c:pt>
                <c:pt idx="9">
                  <c:v>Product25</c:v>
                </c:pt>
              </c:strCache>
            </c:strRef>
          </c:cat>
          <c:val>
            <c:numRef>
              <c:f>Analysis!$Z$2:$Z$11</c:f>
              <c:numCache>
                <c:formatCode>[$$-409]#,##0</c:formatCode>
                <c:ptCount val="10"/>
                <c:pt idx="0">
                  <c:v>686</c:v>
                </c:pt>
                <c:pt idx="1">
                  <c:v>1207</c:v>
                </c:pt>
                <c:pt idx="2">
                  <c:v>1320</c:v>
                </c:pt>
                <c:pt idx="3">
                  <c:v>525</c:v>
                </c:pt>
                <c:pt idx="4">
                  <c:v>672</c:v>
                </c:pt>
                <c:pt idx="5">
                  <c:v>448</c:v>
                </c:pt>
                <c:pt idx="6">
                  <c:v>244</c:v>
                </c:pt>
                <c:pt idx="7">
                  <c:v>423</c:v>
                </c:pt>
                <c:pt idx="8">
                  <c:v>1296</c:v>
                </c:pt>
                <c:pt idx="9">
                  <c:v>28</c:v>
                </c:pt>
              </c:numCache>
            </c:numRef>
          </c:val>
          <c:extLst>
            <c:ext xmlns:c16="http://schemas.microsoft.com/office/drawing/2014/chart" uri="{C3380CC4-5D6E-409C-BE32-E72D297353CC}">
              <c16:uniqueId val="{00000000-AAC1-43BB-82E6-04571E750CE8}"/>
            </c:ext>
          </c:extLst>
        </c:ser>
        <c:dLbls>
          <c:dLblPos val="outEnd"/>
          <c:showLegendKey val="0"/>
          <c:showVal val="1"/>
          <c:showCatName val="0"/>
          <c:showSerName val="0"/>
          <c:showPercent val="0"/>
          <c:showBubbleSize val="0"/>
        </c:dLbls>
        <c:gapWidth val="100"/>
        <c:axId val="96580511"/>
        <c:axId val="96574751"/>
      </c:barChart>
      <c:catAx>
        <c:axId val="96580511"/>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6574751"/>
        <c:crosses val="autoZero"/>
        <c:auto val="1"/>
        <c:lblAlgn val="ctr"/>
        <c:lblOffset val="100"/>
        <c:noMultiLvlLbl val="0"/>
      </c:catAx>
      <c:valAx>
        <c:axId val="96574751"/>
        <c:scaling>
          <c:orientation val="minMax"/>
        </c:scaling>
        <c:delete val="1"/>
        <c:axPos val="b"/>
        <c:numFmt formatCode="[$$-409]#,##0" sourceLinked="1"/>
        <c:majorTickMark val="none"/>
        <c:minorTickMark val="none"/>
        <c:tickLblPos val="nextTo"/>
        <c:crossAx val="96580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[Shruti Sudhir Gaikwad.xlsx]Analysis!SalesType</c:name>
    <c:fmtId val="1"/>
  </c:pivotSource>
  <c:chart>
    <c:autoTitleDeleted val="1"/>
    <c:pivotFmts>
      <c:pivotFmt>
        <c:idx val="0"/>
        <c:spPr>
          <a:solidFill>
            <a:srgbClr val="FF0000"/>
          </a:solidFill>
          <a:ln w="19050">
            <a:solidFill>
              <a:schemeClr val="lt1"/>
            </a:solidFill>
          </a:ln>
          <a:effectLst/>
        </c:spPr>
        <c:marker>
          <c:symbol val="none"/>
        </c:marker>
        <c:dLbl>
          <c:idx val="0"/>
          <c:spPr>
            <a:gradFill>
              <a:gsLst>
                <a:gs pos="0">
                  <a:schemeClr val="accent1">
                    <a:lumMod val="5000"/>
                    <a:lumOff val="95000"/>
                  </a:schemeClr>
                </a:gs>
                <a:gs pos="0">
                  <a:schemeClr val="accent1">
                    <a:lumMod val="45000"/>
                    <a:lumOff val="55000"/>
                  </a:schemeClr>
                </a:gs>
                <a:gs pos="0">
                  <a:schemeClr val="accent1">
                    <a:lumMod val="45000"/>
                    <a:lumOff val="55000"/>
                  </a:schemeClr>
                </a:gs>
                <a:gs pos="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CC0000"/>
          </a:solidFill>
          <a:ln w="19050">
            <a:solidFill>
              <a:schemeClr val="lt1"/>
            </a:solidFill>
          </a:ln>
          <a:effectLst/>
        </c:spPr>
      </c:pivotFmt>
      <c:pivotFmt>
        <c:idx val="2"/>
        <c:spPr>
          <a:solidFill>
            <a:srgbClr val="FFC000"/>
          </a:solidFill>
          <a:ln w="19050">
            <a:solidFill>
              <a:schemeClr val="lt1"/>
            </a:solidFill>
          </a:ln>
          <a:effectLst/>
        </c:spPr>
      </c:pivotFmt>
      <c:pivotFmt>
        <c:idx val="3"/>
        <c:spPr>
          <a:solidFill>
            <a:srgbClr val="00863D"/>
          </a:solidFill>
          <a:ln w="19050">
            <a:solidFill>
              <a:schemeClr val="lt1"/>
            </a:solidFill>
          </a:ln>
          <a:effectLst/>
        </c:spPr>
      </c:pivotFmt>
    </c:pivotFmts>
    <c:plotArea>
      <c:layout>
        <c:manualLayout>
          <c:layoutTarget val="inner"/>
          <c:xMode val="edge"/>
          <c:yMode val="edge"/>
          <c:x val="0.18541507469794125"/>
          <c:y val="0.12897732662935205"/>
          <c:w val="0.63058713793062859"/>
          <c:h val="0.70841779223440904"/>
        </c:manualLayout>
      </c:layout>
      <c:pieChart>
        <c:varyColors val="1"/>
        <c:ser>
          <c:idx val="0"/>
          <c:order val="0"/>
          <c:tx>
            <c:strRef>
              <c:f>Analysis!$AL$1</c:f>
              <c:strCache>
                <c:ptCount val="1"/>
                <c:pt idx="0">
                  <c:v>Total</c:v>
                </c:pt>
              </c:strCache>
            </c:strRef>
          </c:tx>
          <c:spPr>
            <a:solidFill>
              <a:srgbClr val="FF0000"/>
            </a:solidFill>
          </c:spPr>
          <c:dPt>
            <c:idx val="0"/>
            <c:bubble3D val="0"/>
            <c:spPr>
              <a:solidFill>
                <a:srgbClr val="CC0000"/>
              </a:solidFill>
              <a:ln w="19050">
                <a:solidFill>
                  <a:schemeClr val="lt1"/>
                </a:solidFill>
              </a:ln>
              <a:effectLst/>
            </c:spPr>
            <c:extLst>
              <c:ext xmlns:c16="http://schemas.microsoft.com/office/drawing/2014/chart" uri="{C3380CC4-5D6E-409C-BE32-E72D297353CC}">
                <c16:uniqueId val="{00000002-2BBD-494B-BCD4-23B389D4E8D7}"/>
              </c:ext>
            </c:extLst>
          </c:dPt>
          <c:dPt>
            <c:idx val="1"/>
            <c:bubble3D val="0"/>
            <c:spPr>
              <a:solidFill>
                <a:srgbClr val="FFC000"/>
              </a:solidFill>
              <a:ln w="19050">
                <a:solidFill>
                  <a:schemeClr val="lt1"/>
                </a:solidFill>
              </a:ln>
              <a:effectLst/>
            </c:spPr>
            <c:extLst>
              <c:ext xmlns:c16="http://schemas.microsoft.com/office/drawing/2014/chart" uri="{C3380CC4-5D6E-409C-BE32-E72D297353CC}">
                <c16:uniqueId val="{00000003-2BBD-494B-BCD4-23B389D4E8D7}"/>
              </c:ext>
            </c:extLst>
          </c:dPt>
          <c:dPt>
            <c:idx val="2"/>
            <c:bubble3D val="0"/>
            <c:spPr>
              <a:solidFill>
                <a:srgbClr val="00863D"/>
              </a:solidFill>
              <a:ln w="19050">
                <a:solidFill>
                  <a:schemeClr val="lt1"/>
                </a:solidFill>
              </a:ln>
              <a:effectLst/>
            </c:spPr>
            <c:extLst>
              <c:ext xmlns:c16="http://schemas.microsoft.com/office/drawing/2014/chart" uri="{C3380CC4-5D6E-409C-BE32-E72D297353CC}">
                <c16:uniqueId val="{00000004-2BBD-494B-BCD4-23B389D4E8D7}"/>
              </c:ext>
            </c:extLst>
          </c:dPt>
          <c:dLbls>
            <c:spPr>
              <a:gradFill>
                <a:gsLst>
                  <a:gs pos="0">
                    <a:schemeClr val="accent1">
                      <a:lumMod val="5000"/>
                      <a:lumOff val="95000"/>
                    </a:schemeClr>
                  </a:gs>
                  <a:gs pos="0">
                    <a:schemeClr val="accent1">
                      <a:lumMod val="45000"/>
                      <a:lumOff val="55000"/>
                    </a:schemeClr>
                  </a:gs>
                  <a:gs pos="0">
                    <a:schemeClr val="accent1">
                      <a:lumMod val="45000"/>
                      <a:lumOff val="55000"/>
                    </a:schemeClr>
                  </a:gs>
                  <a:gs pos="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Analysis!$AK$2:$AK$4</c:f>
              <c:strCache>
                <c:ptCount val="3"/>
                <c:pt idx="0">
                  <c:v>Direct Sales</c:v>
                </c:pt>
                <c:pt idx="1">
                  <c:v>Online</c:v>
                </c:pt>
                <c:pt idx="2">
                  <c:v>Wholesaler</c:v>
                </c:pt>
              </c:strCache>
            </c:strRef>
          </c:cat>
          <c:val>
            <c:numRef>
              <c:f>Analysis!$AL$2:$AL$4</c:f>
              <c:numCache>
                <c:formatCode>General</c:formatCode>
                <c:ptCount val="3"/>
                <c:pt idx="0">
                  <c:v>6864</c:v>
                </c:pt>
                <c:pt idx="1">
                  <c:v>4414</c:v>
                </c:pt>
                <c:pt idx="2">
                  <c:v>3985</c:v>
                </c:pt>
              </c:numCache>
            </c:numRef>
          </c:val>
          <c:extLst>
            <c:ext xmlns:c16="http://schemas.microsoft.com/office/drawing/2014/chart" uri="{C3380CC4-5D6E-409C-BE32-E72D297353CC}">
              <c16:uniqueId val="{00000000-2BBD-494B-BCD4-23B389D4E8D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[Shruti Sudhir Gaikwad.xlsx]Analysis!PaymentMode</c:name>
    <c:fmtId val="7"/>
  </c:pivotSource>
  <c:chart>
    <c:autoTitleDeleted val="1"/>
    <c:pivotFmts>
      <c:pivotFmt>
        <c:idx val="0"/>
        <c:spPr>
          <a:solidFill>
            <a:srgbClr val="00B050"/>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00B050"/>
          </a:solidFill>
          <a:ln>
            <a:noFill/>
          </a:ln>
          <a:effectLst/>
          <a:scene3d>
            <a:camera prst="orthographicFront"/>
            <a:lightRig rig="brightRoom" dir="t"/>
          </a:scene3d>
          <a:sp3d prstMaterial="flat">
            <a:bevelT w="50800" h="101600" prst="angle"/>
            <a:contourClr>
              <a:srgbClr val="000000"/>
            </a:contourClr>
          </a:sp3d>
        </c:spPr>
      </c:pivotFmt>
      <c:pivotFmt>
        <c:idx val="2"/>
        <c:spPr>
          <a:solidFill>
            <a:srgbClr val="00B050"/>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9.6858006699438809E-2"/>
          <c:y val="4.7619047619047616E-2"/>
          <c:w val="0.84772045068952018"/>
          <c:h val="0.87678515185601802"/>
        </c:manualLayout>
      </c:layout>
      <c:pieChart>
        <c:varyColors val="1"/>
        <c:ser>
          <c:idx val="0"/>
          <c:order val="0"/>
          <c:tx>
            <c:strRef>
              <c:f>Analysis!$AO$1</c:f>
              <c:strCache>
                <c:ptCount val="1"/>
                <c:pt idx="0">
                  <c:v>Total</c:v>
                </c:pt>
              </c:strCache>
            </c:strRef>
          </c:tx>
          <c:spPr>
            <a:solidFill>
              <a:srgbClr val="00B050"/>
            </a:solidFill>
          </c:spPr>
          <c:explosion val="8"/>
          <c:dPt>
            <c:idx val="0"/>
            <c:bubble3D val="0"/>
            <c:explosion val="0"/>
            <c:spPr>
              <a:solidFill>
                <a:srgbClr val="00B05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4-A38E-401D-96D3-FE3ED04437D2}"/>
              </c:ext>
            </c:extLst>
          </c:dPt>
          <c:dPt>
            <c:idx val="1"/>
            <c:bubble3D val="0"/>
            <c:explosion val="0"/>
            <c:spPr>
              <a:solidFill>
                <a:srgbClr val="00B05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A38E-401D-96D3-FE3ED04437D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0"/>
            <c:extLst>
              <c:ext xmlns:c15="http://schemas.microsoft.com/office/drawing/2012/chart" uri="{CE6537A1-D6FC-4f65-9D91-7224C49458BB}"/>
            </c:extLst>
          </c:dLbls>
          <c:cat>
            <c:strRef>
              <c:f>Analysis!$AN$2:$AN$3</c:f>
              <c:strCache>
                <c:ptCount val="2"/>
                <c:pt idx="0">
                  <c:v>Cash</c:v>
                </c:pt>
                <c:pt idx="1">
                  <c:v>Online</c:v>
                </c:pt>
              </c:strCache>
            </c:strRef>
          </c:cat>
          <c:val>
            <c:numRef>
              <c:f>Analysis!$AO$2:$AO$3</c:f>
              <c:numCache>
                <c:formatCode>General</c:formatCode>
                <c:ptCount val="2"/>
                <c:pt idx="0">
                  <c:v>7464</c:v>
                </c:pt>
                <c:pt idx="1">
                  <c:v>7799</c:v>
                </c:pt>
              </c:numCache>
            </c:numRef>
          </c:val>
          <c:extLst>
            <c:ext xmlns:c16="http://schemas.microsoft.com/office/drawing/2014/chart" uri="{C3380CC4-5D6E-409C-BE32-E72D297353CC}">
              <c16:uniqueId val="{00000003-A38E-401D-96D3-FE3ED04437D2}"/>
            </c:ext>
          </c:extLst>
        </c:ser>
        <c:dLbls>
          <c:dLblPos val="inEnd"/>
          <c:showLegendKey val="0"/>
          <c:showVal val="1"/>
          <c:showCatName val="0"/>
          <c:showSerName val="0"/>
          <c:showPercent val="0"/>
          <c:showBubbleSize val="0"/>
          <c:showLeaderLines val="0"/>
        </c:dLbls>
        <c:firstSliceAng val="0"/>
      </c:pieChart>
      <c:spPr>
        <a:noFill/>
        <a:ln>
          <a:noFill/>
        </a:ln>
        <a:effectLst/>
      </c:spPr>
    </c:plotArea>
    <c:legend>
      <c:legendPos val="b"/>
      <c:layout>
        <c:manualLayout>
          <c:xMode val="edge"/>
          <c:yMode val="edge"/>
          <c:x val="0"/>
          <c:y val="0.82556430446194229"/>
          <c:w val="0.18495656352815049"/>
          <c:h val="0.1405373904533119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[Shruti Sudhir Gaikwad.xlsx]Sheet1!PivotTable1</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Sheet1!$B$3:$B$4</c:f>
              <c:strCache>
                <c:ptCount val="1"/>
                <c:pt idx="0">
                  <c:v>Direct Sales</c:v>
                </c:pt>
              </c:strCache>
            </c:strRef>
          </c:tx>
          <c:spPr>
            <a:solidFill>
              <a:schemeClr val="accent1"/>
            </a:solidFill>
            <a:ln>
              <a:noFill/>
            </a:ln>
            <a:effectLst/>
          </c:spPr>
          <c:invertIfNegative val="0"/>
          <c:cat>
            <c:strRef>
              <c:f>Sheet1!$A$5:$A$49</c:f>
              <c:strCache>
                <c:ptCount val="44"/>
                <c:pt idx="0">
                  <c:v>P0001</c:v>
                </c:pt>
                <c:pt idx="1">
                  <c:v>P0002</c:v>
                </c:pt>
                <c:pt idx="2">
                  <c:v>P0003</c:v>
                </c:pt>
                <c:pt idx="3">
                  <c:v>P0004</c:v>
                </c:pt>
                <c:pt idx="4">
                  <c:v>P0005</c:v>
                </c:pt>
                <c:pt idx="5">
                  <c:v>P0006</c:v>
                </c:pt>
                <c:pt idx="6">
                  <c:v>P0007</c:v>
                </c:pt>
                <c:pt idx="7">
                  <c:v>P0008</c:v>
                </c:pt>
                <c:pt idx="8">
                  <c:v>P0009</c:v>
                </c:pt>
                <c:pt idx="9">
                  <c:v>P0010</c:v>
                </c:pt>
                <c:pt idx="10">
                  <c:v>P0011</c:v>
                </c:pt>
                <c:pt idx="11">
                  <c:v>P0012</c:v>
                </c:pt>
                <c:pt idx="12">
                  <c:v>P0013</c:v>
                </c:pt>
                <c:pt idx="13">
                  <c:v>P0014</c:v>
                </c:pt>
                <c:pt idx="14">
                  <c:v>P0015</c:v>
                </c:pt>
                <c:pt idx="15">
                  <c:v>P0016</c:v>
                </c:pt>
                <c:pt idx="16">
                  <c:v>P0017</c:v>
                </c:pt>
                <c:pt idx="17">
                  <c:v>P0018</c:v>
                </c:pt>
                <c:pt idx="18">
                  <c:v>P0019</c:v>
                </c:pt>
                <c:pt idx="19">
                  <c:v>P0020</c:v>
                </c:pt>
                <c:pt idx="20">
                  <c:v>P0021</c:v>
                </c:pt>
                <c:pt idx="21">
                  <c:v>P0022</c:v>
                </c:pt>
                <c:pt idx="22">
                  <c:v>P0023</c:v>
                </c:pt>
                <c:pt idx="23">
                  <c:v>P0024</c:v>
                </c:pt>
                <c:pt idx="24">
                  <c:v>P0025</c:v>
                </c:pt>
                <c:pt idx="25">
                  <c:v>P0026</c:v>
                </c:pt>
                <c:pt idx="26">
                  <c:v>P0027</c:v>
                </c:pt>
                <c:pt idx="27">
                  <c:v>P0028</c:v>
                </c:pt>
                <c:pt idx="28">
                  <c:v>P0029</c:v>
                </c:pt>
                <c:pt idx="29">
                  <c:v>P0030</c:v>
                </c:pt>
                <c:pt idx="30">
                  <c:v>P0031</c:v>
                </c:pt>
                <c:pt idx="31">
                  <c:v>P0032</c:v>
                </c:pt>
                <c:pt idx="32">
                  <c:v>P0033</c:v>
                </c:pt>
                <c:pt idx="33">
                  <c:v>P0034</c:v>
                </c:pt>
                <c:pt idx="34">
                  <c:v>P0035</c:v>
                </c:pt>
                <c:pt idx="35">
                  <c:v>P0036</c:v>
                </c:pt>
                <c:pt idx="36">
                  <c:v>P0037</c:v>
                </c:pt>
                <c:pt idx="37">
                  <c:v>P0038</c:v>
                </c:pt>
                <c:pt idx="38">
                  <c:v>P0039</c:v>
                </c:pt>
                <c:pt idx="39">
                  <c:v>P0040</c:v>
                </c:pt>
                <c:pt idx="40">
                  <c:v>P0041</c:v>
                </c:pt>
                <c:pt idx="41">
                  <c:v>P0042</c:v>
                </c:pt>
                <c:pt idx="42">
                  <c:v>P0043</c:v>
                </c:pt>
                <c:pt idx="43">
                  <c:v>P0044</c:v>
                </c:pt>
              </c:strCache>
            </c:strRef>
          </c:cat>
          <c:val>
            <c:numRef>
              <c:f>Sheet1!$B$5:$B$49</c:f>
              <c:numCache>
                <c:formatCode>General</c:formatCode>
                <c:ptCount val="44"/>
                <c:pt idx="0">
                  <c:v>51</c:v>
                </c:pt>
                <c:pt idx="1">
                  <c:v>31</c:v>
                </c:pt>
                <c:pt idx="2">
                  <c:v>23</c:v>
                </c:pt>
                <c:pt idx="3">
                  <c:v>54</c:v>
                </c:pt>
                <c:pt idx="4">
                  <c:v>58</c:v>
                </c:pt>
                <c:pt idx="5">
                  <c:v>34</c:v>
                </c:pt>
                <c:pt idx="6">
                  <c:v>37</c:v>
                </c:pt>
                <c:pt idx="7">
                  <c:v>72</c:v>
                </c:pt>
                <c:pt idx="8">
                  <c:v>33</c:v>
                </c:pt>
                <c:pt idx="9">
                  <c:v>66</c:v>
                </c:pt>
                <c:pt idx="10">
                  <c:v>82</c:v>
                </c:pt>
                <c:pt idx="11">
                  <c:v>89</c:v>
                </c:pt>
                <c:pt idx="12">
                  <c:v>39</c:v>
                </c:pt>
                <c:pt idx="13">
                  <c:v>45</c:v>
                </c:pt>
                <c:pt idx="14">
                  <c:v>52</c:v>
                </c:pt>
                <c:pt idx="15">
                  <c:v>62</c:v>
                </c:pt>
                <c:pt idx="16">
                  <c:v>43</c:v>
                </c:pt>
                <c:pt idx="17">
                  <c:v>50</c:v>
                </c:pt>
                <c:pt idx="18">
                  <c:v>52</c:v>
                </c:pt>
                <c:pt idx="19">
                  <c:v>49</c:v>
                </c:pt>
                <c:pt idx="20">
                  <c:v>38</c:v>
                </c:pt>
                <c:pt idx="21">
                  <c:v>24</c:v>
                </c:pt>
                <c:pt idx="22">
                  <c:v>47</c:v>
                </c:pt>
                <c:pt idx="24">
                  <c:v>49</c:v>
                </c:pt>
                <c:pt idx="25">
                  <c:v>49</c:v>
                </c:pt>
                <c:pt idx="26">
                  <c:v>55</c:v>
                </c:pt>
                <c:pt idx="27">
                  <c:v>80</c:v>
                </c:pt>
                <c:pt idx="28">
                  <c:v>71</c:v>
                </c:pt>
                <c:pt idx="29">
                  <c:v>63</c:v>
                </c:pt>
                <c:pt idx="30">
                  <c:v>32</c:v>
                </c:pt>
                <c:pt idx="31">
                  <c:v>63</c:v>
                </c:pt>
                <c:pt idx="32">
                  <c:v>64</c:v>
                </c:pt>
                <c:pt idx="33">
                  <c:v>82</c:v>
                </c:pt>
                <c:pt idx="34">
                  <c:v>71</c:v>
                </c:pt>
                <c:pt idx="35">
                  <c:v>22</c:v>
                </c:pt>
                <c:pt idx="36">
                  <c:v>32</c:v>
                </c:pt>
                <c:pt idx="37">
                  <c:v>36</c:v>
                </c:pt>
                <c:pt idx="38">
                  <c:v>42</c:v>
                </c:pt>
                <c:pt idx="39">
                  <c:v>17</c:v>
                </c:pt>
                <c:pt idx="40">
                  <c:v>84</c:v>
                </c:pt>
                <c:pt idx="41">
                  <c:v>68</c:v>
                </c:pt>
                <c:pt idx="42">
                  <c:v>54</c:v>
                </c:pt>
                <c:pt idx="43">
                  <c:v>79</c:v>
                </c:pt>
              </c:numCache>
            </c:numRef>
          </c:val>
          <c:extLst>
            <c:ext xmlns:c16="http://schemas.microsoft.com/office/drawing/2014/chart" uri="{C3380CC4-5D6E-409C-BE32-E72D297353CC}">
              <c16:uniqueId val="{00000000-0E72-4129-BFF9-238733CB2ABD}"/>
            </c:ext>
          </c:extLst>
        </c:ser>
        <c:ser>
          <c:idx val="1"/>
          <c:order val="1"/>
          <c:tx>
            <c:strRef>
              <c:f>Sheet1!$C$3:$C$4</c:f>
              <c:strCache>
                <c:ptCount val="1"/>
                <c:pt idx="0">
                  <c:v>Online</c:v>
                </c:pt>
              </c:strCache>
            </c:strRef>
          </c:tx>
          <c:spPr>
            <a:solidFill>
              <a:schemeClr val="accent2"/>
            </a:solidFill>
            <a:ln>
              <a:noFill/>
            </a:ln>
            <a:effectLst/>
          </c:spPr>
          <c:invertIfNegative val="0"/>
          <c:cat>
            <c:strRef>
              <c:f>Sheet1!$A$5:$A$49</c:f>
              <c:strCache>
                <c:ptCount val="44"/>
                <c:pt idx="0">
                  <c:v>P0001</c:v>
                </c:pt>
                <c:pt idx="1">
                  <c:v>P0002</c:v>
                </c:pt>
                <c:pt idx="2">
                  <c:v>P0003</c:v>
                </c:pt>
                <c:pt idx="3">
                  <c:v>P0004</c:v>
                </c:pt>
                <c:pt idx="4">
                  <c:v>P0005</c:v>
                </c:pt>
                <c:pt idx="5">
                  <c:v>P0006</c:v>
                </c:pt>
                <c:pt idx="6">
                  <c:v>P0007</c:v>
                </c:pt>
                <c:pt idx="7">
                  <c:v>P0008</c:v>
                </c:pt>
                <c:pt idx="8">
                  <c:v>P0009</c:v>
                </c:pt>
                <c:pt idx="9">
                  <c:v>P0010</c:v>
                </c:pt>
                <c:pt idx="10">
                  <c:v>P0011</c:v>
                </c:pt>
                <c:pt idx="11">
                  <c:v>P0012</c:v>
                </c:pt>
                <c:pt idx="12">
                  <c:v>P0013</c:v>
                </c:pt>
                <c:pt idx="13">
                  <c:v>P0014</c:v>
                </c:pt>
                <c:pt idx="14">
                  <c:v>P0015</c:v>
                </c:pt>
                <c:pt idx="15">
                  <c:v>P0016</c:v>
                </c:pt>
                <c:pt idx="16">
                  <c:v>P0017</c:v>
                </c:pt>
                <c:pt idx="17">
                  <c:v>P0018</c:v>
                </c:pt>
                <c:pt idx="18">
                  <c:v>P0019</c:v>
                </c:pt>
                <c:pt idx="19">
                  <c:v>P0020</c:v>
                </c:pt>
                <c:pt idx="20">
                  <c:v>P0021</c:v>
                </c:pt>
                <c:pt idx="21">
                  <c:v>P0022</c:v>
                </c:pt>
                <c:pt idx="22">
                  <c:v>P0023</c:v>
                </c:pt>
                <c:pt idx="23">
                  <c:v>P0024</c:v>
                </c:pt>
                <c:pt idx="24">
                  <c:v>P0025</c:v>
                </c:pt>
                <c:pt idx="25">
                  <c:v>P0026</c:v>
                </c:pt>
                <c:pt idx="26">
                  <c:v>P0027</c:v>
                </c:pt>
                <c:pt idx="27">
                  <c:v>P0028</c:v>
                </c:pt>
                <c:pt idx="28">
                  <c:v>P0029</c:v>
                </c:pt>
                <c:pt idx="29">
                  <c:v>P0030</c:v>
                </c:pt>
                <c:pt idx="30">
                  <c:v>P0031</c:v>
                </c:pt>
                <c:pt idx="31">
                  <c:v>P0032</c:v>
                </c:pt>
                <c:pt idx="32">
                  <c:v>P0033</c:v>
                </c:pt>
                <c:pt idx="33">
                  <c:v>P0034</c:v>
                </c:pt>
                <c:pt idx="34">
                  <c:v>P0035</c:v>
                </c:pt>
                <c:pt idx="35">
                  <c:v>P0036</c:v>
                </c:pt>
                <c:pt idx="36">
                  <c:v>P0037</c:v>
                </c:pt>
                <c:pt idx="37">
                  <c:v>P0038</c:v>
                </c:pt>
                <c:pt idx="38">
                  <c:v>P0039</c:v>
                </c:pt>
                <c:pt idx="39">
                  <c:v>P0040</c:v>
                </c:pt>
                <c:pt idx="40">
                  <c:v>P0041</c:v>
                </c:pt>
                <c:pt idx="41">
                  <c:v>P0042</c:v>
                </c:pt>
                <c:pt idx="42">
                  <c:v>P0043</c:v>
                </c:pt>
                <c:pt idx="43">
                  <c:v>P0044</c:v>
                </c:pt>
              </c:strCache>
            </c:strRef>
          </c:cat>
          <c:val>
            <c:numRef>
              <c:f>Sheet1!$C$5:$C$49</c:f>
              <c:numCache>
                <c:formatCode>General</c:formatCode>
                <c:ptCount val="44"/>
                <c:pt idx="0">
                  <c:v>26</c:v>
                </c:pt>
                <c:pt idx="1">
                  <c:v>54</c:v>
                </c:pt>
                <c:pt idx="2">
                  <c:v>56</c:v>
                </c:pt>
                <c:pt idx="3">
                  <c:v>38</c:v>
                </c:pt>
                <c:pt idx="4">
                  <c:v>23</c:v>
                </c:pt>
                <c:pt idx="5">
                  <c:v>19</c:v>
                </c:pt>
                <c:pt idx="6">
                  <c:v>11</c:v>
                </c:pt>
                <c:pt idx="7">
                  <c:v>25</c:v>
                </c:pt>
                <c:pt idx="8">
                  <c:v>37</c:v>
                </c:pt>
                <c:pt idx="9">
                  <c:v>34</c:v>
                </c:pt>
                <c:pt idx="10">
                  <c:v>23</c:v>
                </c:pt>
                <c:pt idx="11">
                  <c:v>19</c:v>
                </c:pt>
                <c:pt idx="12">
                  <c:v>21</c:v>
                </c:pt>
                <c:pt idx="13">
                  <c:v>37</c:v>
                </c:pt>
                <c:pt idx="14">
                  <c:v>50</c:v>
                </c:pt>
                <c:pt idx="15">
                  <c:v>43</c:v>
                </c:pt>
                <c:pt idx="16">
                  <c:v>8</c:v>
                </c:pt>
                <c:pt idx="17">
                  <c:v>19</c:v>
                </c:pt>
                <c:pt idx="18">
                  <c:v>16</c:v>
                </c:pt>
                <c:pt idx="19">
                  <c:v>41</c:v>
                </c:pt>
                <c:pt idx="20">
                  <c:v>28</c:v>
                </c:pt>
                <c:pt idx="21">
                  <c:v>28</c:v>
                </c:pt>
                <c:pt idx="22">
                  <c:v>31</c:v>
                </c:pt>
                <c:pt idx="23">
                  <c:v>55</c:v>
                </c:pt>
                <c:pt idx="24">
                  <c:v>23</c:v>
                </c:pt>
                <c:pt idx="25">
                  <c:v>47</c:v>
                </c:pt>
                <c:pt idx="26">
                  <c:v>40</c:v>
                </c:pt>
                <c:pt idx="27">
                  <c:v>9</c:v>
                </c:pt>
                <c:pt idx="28">
                  <c:v>24</c:v>
                </c:pt>
                <c:pt idx="29">
                  <c:v>42</c:v>
                </c:pt>
                <c:pt idx="30">
                  <c:v>28</c:v>
                </c:pt>
                <c:pt idx="31">
                  <c:v>61</c:v>
                </c:pt>
                <c:pt idx="32">
                  <c:v>30</c:v>
                </c:pt>
                <c:pt idx="33">
                  <c:v>45</c:v>
                </c:pt>
                <c:pt idx="34">
                  <c:v>34</c:v>
                </c:pt>
                <c:pt idx="35">
                  <c:v>27</c:v>
                </c:pt>
                <c:pt idx="36">
                  <c:v>27</c:v>
                </c:pt>
                <c:pt idx="37">
                  <c:v>55</c:v>
                </c:pt>
                <c:pt idx="38">
                  <c:v>24</c:v>
                </c:pt>
                <c:pt idx="39">
                  <c:v>29</c:v>
                </c:pt>
                <c:pt idx="40">
                  <c:v>22</c:v>
                </c:pt>
                <c:pt idx="41">
                  <c:v>19</c:v>
                </c:pt>
                <c:pt idx="42">
                  <c:v>19</c:v>
                </c:pt>
                <c:pt idx="43">
                  <c:v>96</c:v>
                </c:pt>
              </c:numCache>
            </c:numRef>
          </c:val>
          <c:extLst>
            <c:ext xmlns:c16="http://schemas.microsoft.com/office/drawing/2014/chart" uri="{C3380CC4-5D6E-409C-BE32-E72D297353CC}">
              <c16:uniqueId val="{00000001-0E72-4129-BFF9-238733CB2ABD}"/>
            </c:ext>
          </c:extLst>
        </c:ser>
        <c:ser>
          <c:idx val="2"/>
          <c:order val="2"/>
          <c:tx>
            <c:strRef>
              <c:f>Sheet1!$D$3:$D$4</c:f>
              <c:strCache>
                <c:ptCount val="1"/>
                <c:pt idx="0">
                  <c:v>Wholesaler</c:v>
                </c:pt>
              </c:strCache>
            </c:strRef>
          </c:tx>
          <c:spPr>
            <a:solidFill>
              <a:schemeClr val="accent3"/>
            </a:solidFill>
            <a:ln>
              <a:noFill/>
            </a:ln>
            <a:effectLst/>
          </c:spPr>
          <c:invertIfNegative val="0"/>
          <c:cat>
            <c:strRef>
              <c:f>Sheet1!$A$5:$A$49</c:f>
              <c:strCache>
                <c:ptCount val="44"/>
                <c:pt idx="0">
                  <c:v>P0001</c:v>
                </c:pt>
                <c:pt idx="1">
                  <c:v>P0002</c:v>
                </c:pt>
                <c:pt idx="2">
                  <c:v>P0003</c:v>
                </c:pt>
                <c:pt idx="3">
                  <c:v>P0004</c:v>
                </c:pt>
                <c:pt idx="4">
                  <c:v>P0005</c:v>
                </c:pt>
                <c:pt idx="5">
                  <c:v>P0006</c:v>
                </c:pt>
                <c:pt idx="6">
                  <c:v>P0007</c:v>
                </c:pt>
                <c:pt idx="7">
                  <c:v>P0008</c:v>
                </c:pt>
                <c:pt idx="8">
                  <c:v>P0009</c:v>
                </c:pt>
                <c:pt idx="9">
                  <c:v>P0010</c:v>
                </c:pt>
                <c:pt idx="10">
                  <c:v>P0011</c:v>
                </c:pt>
                <c:pt idx="11">
                  <c:v>P0012</c:v>
                </c:pt>
                <c:pt idx="12">
                  <c:v>P0013</c:v>
                </c:pt>
                <c:pt idx="13">
                  <c:v>P0014</c:v>
                </c:pt>
                <c:pt idx="14">
                  <c:v>P0015</c:v>
                </c:pt>
                <c:pt idx="15">
                  <c:v>P0016</c:v>
                </c:pt>
                <c:pt idx="16">
                  <c:v>P0017</c:v>
                </c:pt>
                <c:pt idx="17">
                  <c:v>P0018</c:v>
                </c:pt>
                <c:pt idx="18">
                  <c:v>P0019</c:v>
                </c:pt>
                <c:pt idx="19">
                  <c:v>P0020</c:v>
                </c:pt>
                <c:pt idx="20">
                  <c:v>P0021</c:v>
                </c:pt>
                <c:pt idx="21">
                  <c:v>P0022</c:v>
                </c:pt>
                <c:pt idx="22">
                  <c:v>P0023</c:v>
                </c:pt>
                <c:pt idx="23">
                  <c:v>P0024</c:v>
                </c:pt>
                <c:pt idx="24">
                  <c:v>P0025</c:v>
                </c:pt>
                <c:pt idx="25">
                  <c:v>P0026</c:v>
                </c:pt>
                <c:pt idx="26">
                  <c:v>P0027</c:v>
                </c:pt>
                <c:pt idx="27">
                  <c:v>P0028</c:v>
                </c:pt>
                <c:pt idx="28">
                  <c:v>P0029</c:v>
                </c:pt>
                <c:pt idx="29">
                  <c:v>P0030</c:v>
                </c:pt>
                <c:pt idx="30">
                  <c:v>P0031</c:v>
                </c:pt>
                <c:pt idx="31">
                  <c:v>P0032</c:v>
                </c:pt>
                <c:pt idx="32">
                  <c:v>P0033</c:v>
                </c:pt>
                <c:pt idx="33">
                  <c:v>P0034</c:v>
                </c:pt>
                <c:pt idx="34">
                  <c:v>P0035</c:v>
                </c:pt>
                <c:pt idx="35">
                  <c:v>P0036</c:v>
                </c:pt>
                <c:pt idx="36">
                  <c:v>P0037</c:v>
                </c:pt>
                <c:pt idx="37">
                  <c:v>P0038</c:v>
                </c:pt>
                <c:pt idx="38">
                  <c:v>P0039</c:v>
                </c:pt>
                <c:pt idx="39">
                  <c:v>P0040</c:v>
                </c:pt>
                <c:pt idx="40">
                  <c:v>P0041</c:v>
                </c:pt>
                <c:pt idx="41">
                  <c:v>P0042</c:v>
                </c:pt>
                <c:pt idx="42">
                  <c:v>P0043</c:v>
                </c:pt>
                <c:pt idx="43">
                  <c:v>P0044</c:v>
                </c:pt>
              </c:strCache>
            </c:strRef>
          </c:cat>
          <c:val>
            <c:numRef>
              <c:f>Sheet1!$D$5:$D$49</c:f>
              <c:numCache>
                <c:formatCode>General</c:formatCode>
                <c:ptCount val="44"/>
                <c:pt idx="0">
                  <c:v>17</c:v>
                </c:pt>
                <c:pt idx="1">
                  <c:v>9</c:v>
                </c:pt>
                <c:pt idx="3">
                  <c:v>32</c:v>
                </c:pt>
                <c:pt idx="4">
                  <c:v>20</c:v>
                </c:pt>
                <c:pt idx="7">
                  <c:v>14</c:v>
                </c:pt>
                <c:pt idx="8">
                  <c:v>4</c:v>
                </c:pt>
                <c:pt idx="10">
                  <c:v>16</c:v>
                </c:pt>
                <c:pt idx="11">
                  <c:v>15</c:v>
                </c:pt>
                <c:pt idx="12">
                  <c:v>9</c:v>
                </c:pt>
                <c:pt idx="13">
                  <c:v>5</c:v>
                </c:pt>
                <c:pt idx="14">
                  <c:v>15</c:v>
                </c:pt>
                <c:pt idx="15">
                  <c:v>15</c:v>
                </c:pt>
                <c:pt idx="16">
                  <c:v>12</c:v>
                </c:pt>
                <c:pt idx="17">
                  <c:v>13</c:v>
                </c:pt>
                <c:pt idx="18">
                  <c:v>28</c:v>
                </c:pt>
                <c:pt idx="19">
                  <c:v>15</c:v>
                </c:pt>
                <c:pt idx="21">
                  <c:v>18</c:v>
                </c:pt>
                <c:pt idx="22">
                  <c:v>8</c:v>
                </c:pt>
                <c:pt idx="23">
                  <c:v>10</c:v>
                </c:pt>
                <c:pt idx="25">
                  <c:v>16</c:v>
                </c:pt>
                <c:pt idx="26">
                  <c:v>14</c:v>
                </c:pt>
                <c:pt idx="27">
                  <c:v>23</c:v>
                </c:pt>
                <c:pt idx="28">
                  <c:v>9</c:v>
                </c:pt>
                <c:pt idx="29">
                  <c:v>9</c:v>
                </c:pt>
                <c:pt idx="31">
                  <c:v>15</c:v>
                </c:pt>
                <c:pt idx="32">
                  <c:v>20</c:v>
                </c:pt>
                <c:pt idx="33">
                  <c:v>27</c:v>
                </c:pt>
                <c:pt idx="35">
                  <c:v>26</c:v>
                </c:pt>
                <c:pt idx="36">
                  <c:v>1</c:v>
                </c:pt>
                <c:pt idx="37">
                  <c:v>20</c:v>
                </c:pt>
                <c:pt idx="38">
                  <c:v>27</c:v>
                </c:pt>
                <c:pt idx="39">
                  <c:v>21</c:v>
                </c:pt>
                <c:pt idx="40">
                  <c:v>26</c:v>
                </c:pt>
                <c:pt idx="41">
                  <c:v>40</c:v>
                </c:pt>
                <c:pt idx="43">
                  <c:v>24</c:v>
                </c:pt>
              </c:numCache>
            </c:numRef>
          </c:val>
          <c:extLst>
            <c:ext xmlns:c16="http://schemas.microsoft.com/office/drawing/2014/chart" uri="{C3380CC4-5D6E-409C-BE32-E72D297353CC}">
              <c16:uniqueId val="{00000002-0E72-4129-BFF9-238733CB2ABD}"/>
            </c:ext>
          </c:extLst>
        </c:ser>
        <c:dLbls>
          <c:showLegendKey val="0"/>
          <c:showVal val="0"/>
          <c:showCatName val="0"/>
          <c:showSerName val="0"/>
          <c:showPercent val="0"/>
          <c:showBubbleSize val="0"/>
        </c:dLbls>
        <c:gapWidth val="219"/>
        <c:overlap val="-27"/>
        <c:axId val="216414336"/>
        <c:axId val="216431136"/>
      </c:barChart>
      <c:catAx>
        <c:axId val="2164143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6431136"/>
        <c:crosses val="autoZero"/>
        <c:auto val="1"/>
        <c:lblAlgn val="ctr"/>
        <c:lblOffset val="100"/>
        <c:noMultiLvlLbl val="0"/>
      </c:catAx>
      <c:valAx>
        <c:axId val="2164311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6414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scene3d>
      <a:camera prst="orthographicFront"/>
      <a:lightRig rig="threePt" dir="t"/>
    </a:scene3d>
    <a:sp3d>
      <a:bevelT prst="relaxedInse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[Shruti Sudhir Gaikwad.xlsx]Sheet2!PivotTable2</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Sheet2!$B$3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4B9-4927-83DD-942447560AA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4B9-4927-83DD-942447560AA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4B9-4927-83DD-942447560AA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Sheet2!$A$4:$A$7</c:f>
              <c:strCache>
                <c:ptCount val="3"/>
                <c:pt idx="0">
                  <c:v>Direct Sales</c:v>
                </c:pt>
                <c:pt idx="1">
                  <c:v>Online</c:v>
                </c:pt>
                <c:pt idx="2">
                  <c:v>Wholesaler</c:v>
                </c:pt>
              </c:strCache>
            </c:strRef>
          </c:cat>
          <c:val>
            <c:numRef>
              <c:f>Sheet2!$B$4:$B$7</c:f>
              <c:numCache>
                <c:formatCode>General</c:formatCode>
                <c:ptCount val="3"/>
                <c:pt idx="0">
                  <c:v>2244</c:v>
                </c:pt>
                <c:pt idx="1">
                  <c:v>1443</c:v>
                </c:pt>
                <c:pt idx="2">
                  <c:v>593</c:v>
                </c:pt>
              </c:numCache>
            </c:numRef>
          </c:val>
          <c:extLst>
            <c:ext xmlns:c16="http://schemas.microsoft.com/office/drawing/2014/chart" uri="{C3380CC4-5D6E-409C-BE32-E72D297353CC}">
              <c16:uniqueId val="{00000006-E4B9-4927-83DD-942447560AAF}"/>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scene3d>
      <a:camera prst="orthographicFront"/>
      <a:lightRig rig="threePt" dir="t"/>
    </a:scene3d>
    <a:sp3d>
      <a:bevelT prst="relaxedInse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[Shruti Sudhir Gaikwad.xlsx]Sheet4!PivotTable3</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Sheet4!$B$3</c:f>
              <c:strCache>
                <c:ptCount val="1"/>
                <c:pt idx="0">
                  <c:v>Total</c:v>
                </c:pt>
              </c:strCache>
            </c:strRef>
          </c:tx>
          <c:spPr>
            <a:ln w="28575" cap="rnd">
              <a:solidFill>
                <a:schemeClr val="accent1"/>
              </a:solidFill>
              <a:round/>
            </a:ln>
            <a:effectLst/>
          </c:spPr>
          <c:marker>
            <c:symbol val="none"/>
          </c:marker>
          <c:cat>
            <c:strRef>
              <c:f>Sheet4!$A$4:$A$6</c:f>
              <c:strCache>
                <c:ptCount val="2"/>
                <c:pt idx="0">
                  <c:v>2021</c:v>
                </c:pt>
                <c:pt idx="1">
                  <c:v>2022</c:v>
                </c:pt>
              </c:strCache>
            </c:strRef>
          </c:cat>
          <c:val>
            <c:numRef>
              <c:f>Sheet4!$B$4:$B$6</c:f>
              <c:numCache>
                <c:formatCode>General</c:formatCode>
                <c:ptCount val="2"/>
                <c:pt idx="0">
                  <c:v>258</c:v>
                </c:pt>
                <c:pt idx="1">
                  <c:v>335</c:v>
                </c:pt>
              </c:numCache>
            </c:numRef>
          </c:val>
          <c:smooth val="0"/>
          <c:extLst>
            <c:ext xmlns:c16="http://schemas.microsoft.com/office/drawing/2014/chart" uri="{C3380CC4-5D6E-409C-BE32-E72D297353CC}">
              <c16:uniqueId val="{00000000-2875-4D0C-9371-0BD898C74DED}"/>
            </c:ext>
          </c:extLst>
        </c:ser>
        <c:dLbls>
          <c:showLegendKey val="0"/>
          <c:showVal val="0"/>
          <c:showCatName val="0"/>
          <c:showSerName val="0"/>
          <c:showPercent val="0"/>
          <c:showBubbleSize val="0"/>
        </c:dLbls>
        <c:smooth val="0"/>
        <c:axId val="216383616"/>
        <c:axId val="216395616"/>
      </c:lineChart>
      <c:catAx>
        <c:axId val="216383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6395616"/>
        <c:crosses val="autoZero"/>
        <c:auto val="1"/>
        <c:lblAlgn val="ctr"/>
        <c:lblOffset val="100"/>
        <c:noMultiLvlLbl val="0"/>
      </c:catAx>
      <c:valAx>
        <c:axId val="216395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6383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scene3d>
      <a:camera prst="orthographicFront"/>
      <a:lightRig rig="threePt" dir="t"/>
    </a:scene3d>
    <a:sp3d>
      <a:bevelT prst="relaxedInse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[Shruti Sudhir Gaikwad.xlsx]Sheet6!PivotTable4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Payment</a:t>
            </a:r>
            <a:r>
              <a:rPr lang="en-IN" baseline="0"/>
              <a:t> Method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dLblPos val="ct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dLblPos val="ct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dLblPos val="ctr"/>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dLblPos val="ct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dLblPos val="ct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dLblPos val="ct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dLblPos val="ct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dLblPos val="ctr"/>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dLblPos val="ctr"/>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dLblPos val="ctr"/>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dLblPos val="ctr"/>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dLblPos val="ctr"/>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marker>
          <c:symbol val="none"/>
        </c:marker>
        <c:dLbl>
          <c:idx val="0"/>
          <c:dLblPos val="ctr"/>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marker>
          <c:symbol val="none"/>
        </c:marker>
        <c:dLbl>
          <c:idx val="0"/>
          <c:dLblPos val="ctr"/>
          <c:showLegendKey val="0"/>
          <c:showVal val="0"/>
          <c:showCatName val="1"/>
          <c:showSerName val="0"/>
          <c:showPercent val="1"/>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7"/>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9"/>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s>
    <c:plotArea>
      <c:layout/>
      <c:pieChart>
        <c:varyColors val="1"/>
        <c:ser>
          <c:idx val="0"/>
          <c:order val="0"/>
          <c:tx>
            <c:strRef>
              <c:f>Sheet6!$B$3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2A5-48BC-9642-C884D6EFDBE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2A5-48BC-9642-C884D6EFDBE6}"/>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Sheet6!$A$4:$A$6</c:f>
              <c:strCache>
                <c:ptCount val="2"/>
                <c:pt idx="0">
                  <c:v>Cash</c:v>
                </c:pt>
                <c:pt idx="1">
                  <c:v>Online</c:v>
                </c:pt>
              </c:strCache>
            </c:strRef>
          </c:cat>
          <c:val>
            <c:numRef>
              <c:f>Sheet6!$B$4:$B$6</c:f>
              <c:numCache>
                <c:formatCode>General</c:formatCode>
                <c:ptCount val="2"/>
                <c:pt idx="0">
                  <c:v>264</c:v>
                </c:pt>
                <c:pt idx="1">
                  <c:v>263</c:v>
                </c:pt>
              </c:numCache>
            </c:numRef>
          </c:val>
          <c:extLst>
            <c:ext xmlns:c16="http://schemas.microsoft.com/office/drawing/2014/chart" uri="{C3380CC4-5D6E-409C-BE32-E72D297353CC}">
              <c16:uniqueId val="{00000004-F2A5-48BC-9642-C884D6EFDBE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scene3d>
      <a:camera prst="orthographicFront"/>
      <a:lightRig rig="threePt" dir="t"/>
    </a:scene3d>
    <a:sp3d>
      <a:bevelT prst="relaxedInse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[Shruti Sudhir Gaikwad.xlsx]Sheet1!PivotTable1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Sheet1!$B$3:$B$4</c:f>
              <c:strCache>
                <c:ptCount val="1"/>
                <c:pt idx="0">
                  <c:v>Direct Sales</c:v>
                </c:pt>
              </c:strCache>
            </c:strRef>
          </c:tx>
          <c:spPr>
            <a:solidFill>
              <a:schemeClr val="accent1"/>
            </a:solidFill>
            <a:ln>
              <a:noFill/>
            </a:ln>
            <a:effectLst/>
          </c:spPr>
          <c:invertIfNegative val="0"/>
          <c:cat>
            <c:strRef>
              <c:f>Sheet1!$A$5:$A$49</c:f>
              <c:strCache>
                <c:ptCount val="44"/>
                <c:pt idx="0">
                  <c:v>P0001</c:v>
                </c:pt>
                <c:pt idx="1">
                  <c:v>P0002</c:v>
                </c:pt>
                <c:pt idx="2">
                  <c:v>P0003</c:v>
                </c:pt>
                <c:pt idx="3">
                  <c:v>P0004</c:v>
                </c:pt>
                <c:pt idx="4">
                  <c:v>P0005</c:v>
                </c:pt>
                <c:pt idx="5">
                  <c:v>P0006</c:v>
                </c:pt>
                <c:pt idx="6">
                  <c:v>P0007</c:v>
                </c:pt>
                <c:pt idx="7">
                  <c:v>P0008</c:v>
                </c:pt>
                <c:pt idx="8">
                  <c:v>P0009</c:v>
                </c:pt>
                <c:pt idx="9">
                  <c:v>P0010</c:v>
                </c:pt>
                <c:pt idx="10">
                  <c:v>P0011</c:v>
                </c:pt>
                <c:pt idx="11">
                  <c:v>P0012</c:v>
                </c:pt>
                <c:pt idx="12">
                  <c:v>P0013</c:v>
                </c:pt>
                <c:pt idx="13">
                  <c:v>P0014</c:v>
                </c:pt>
                <c:pt idx="14">
                  <c:v>P0015</c:v>
                </c:pt>
                <c:pt idx="15">
                  <c:v>P0016</c:v>
                </c:pt>
                <c:pt idx="16">
                  <c:v>P0017</c:v>
                </c:pt>
                <c:pt idx="17">
                  <c:v>P0018</c:v>
                </c:pt>
                <c:pt idx="18">
                  <c:v>P0019</c:v>
                </c:pt>
                <c:pt idx="19">
                  <c:v>P0020</c:v>
                </c:pt>
                <c:pt idx="20">
                  <c:v>P0021</c:v>
                </c:pt>
                <c:pt idx="21">
                  <c:v>P0022</c:v>
                </c:pt>
                <c:pt idx="22">
                  <c:v>P0023</c:v>
                </c:pt>
                <c:pt idx="23">
                  <c:v>P0024</c:v>
                </c:pt>
                <c:pt idx="24">
                  <c:v>P0025</c:v>
                </c:pt>
                <c:pt idx="25">
                  <c:v>P0026</c:v>
                </c:pt>
                <c:pt idx="26">
                  <c:v>P0027</c:v>
                </c:pt>
                <c:pt idx="27">
                  <c:v>P0028</c:v>
                </c:pt>
                <c:pt idx="28">
                  <c:v>P0029</c:v>
                </c:pt>
                <c:pt idx="29">
                  <c:v>P0030</c:v>
                </c:pt>
                <c:pt idx="30">
                  <c:v>P0031</c:v>
                </c:pt>
                <c:pt idx="31">
                  <c:v>P0032</c:v>
                </c:pt>
                <c:pt idx="32">
                  <c:v>P0033</c:v>
                </c:pt>
                <c:pt idx="33">
                  <c:v>P0034</c:v>
                </c:pt>
                <c:pt idx="34">
                  <c:v>P0035</c:v>
                </c:pt>
                <c:pt idx="35">
                  <c:v>P0036</c:v>
                </c:pt>
                <c:pt idx="36">
                  <c:v>P0037</c:v>
                </c:pt>
                <c:pt idx="37">
                  <c:v>P0038</c:v>
                </c:pt>
                <c:pt idx="38">
                  <c:v>P0039</c:v>
                </c:pt>
                <c:pt idx="39">
                  <c:v>P0040</c:v>
                </c:pt>
                <c:pt idx="40">
                  <c:v>P0041</c:v>
                </c:pt>
                <c:pt idx="41">
                  <c:v>P0042</c:v>
                </c:pt>
                <c:pt idx="42">
                  <c:v>P0043</c:v>
                </c:pt>
                <c:pt idx="43">
                  <c:v>P0044</c:v>
                </c:pt>
              </c:strCache>
            </c:strRef>
          </c:cat>
          <c:val>
            <c:numRef>
              <c:f>Sheet1!$B$5:$B$49</c:f>
              <c:numCache>
                <c:formatCode>General</c:formatCode>
                <c:ptCount val="44"/>
                <c:pt idx="0">
                  <c:v>51</c:v>
                </c:pt>
                <c:pt idx="1">
                  <c:v>31</c:v>
                </c:pt>
                <c:pt idx="2">
                  <c:v>23</c:v>
                </c:pt>
                <c:pt idx="3">
                  <c:v>54</c:v>
                </c:pt>
                <c:pt idx="4">
                  <c:v>58</c:v>
                </c:pt>
                <c:pt idx="5">
                  <c:v>34</c:v>
                </c:pt>
                <c:pt idx="6">
                  <c:v>37</c:v>
                </c:pt>
                <c:pt idx="7">
                  <c:v>72</c:v>
                </c:pt>
                <c:pt idx="8">
                  <c:v>33</c:v>
                </c:pt>
                <c:pt idx="9">
                  <c:v>66</c:v>
                </c:pt>
                <c:pt idx="10">
                  <c:v>82</c:v>
                </c:pt>
                <c:pt idx="11">
                  <c:v>89</c:v>
                </c:pt>
                <c:pt idx="12">
                  <c:v>39</c:v>
                </c:pt>
                <c:pt idx="13">
                  <c:v>45</c:v>
                </c:pt>
                <c:pt idx="14">
                  <c:v>52</c:v>
                </c:pt>
                <c:pt idx="15">
                  <c:v>62</c:v>
                </c:pt>
                <c:pt idx="16">
                  <c:v>43</c:v>
                </c:pt>
                <c:pt idx="17">
                  <c:v>50</c:v>
                </c:pt>
                <c:pt idx="18">
                  <c:v>52</c:v>
                </c:pt>
                <c:pt idx="19">
                  <c:v>49</c:v>
                </c:pt>
                <c:pt idx="20">
                  <c:v>38</c:v>
                </c:pt>
                <c:pt idx="21">
                  <c:v>24</c:v>
                </c:pt>
                <c:pt idx="22">
                  <c:v>47</c:v>
                </c:pt>
                <c:pt idx="24">
                  <c:v>49</c:v>
                </c:pt>
                <c:pt idx="25">
                  <c:v>49</c:v>
                </c:pt>
                <c:pt idx="26">
                  <c:v>55</c:v>
                </c:pt>
                <c:pt idx="27">
                  <c:v>80</c:v>
                </c:pt>
                <c:pt idx="28">
                  <c:v>71</c:v>
                </c:pt>
                <c:pt idx="29">
                  <c:v>63</c:v>
                </c:pt>
                <c:pt idx="30">
                  <c:v>32</c:v>
                </c:pt>
                <c:pt idx="31">
                  <c:v>63</c:v>
                </c:pt>
                <c:pt idx="32">
                  <c:v>64</c:v>
                </c:pt>
                <c:pt idx="33">
                  <c:v>82</c:v>
                </c:pt>
                <c:pt idx="34">
                  <c:v>71</c:v>
                </c:pt>
                <c:pt idx="35">
                  <c:v>22</c:v>
                </c:pt>
                <c:pt idx="36">
                  <c:v>32</c:v>
                </c:pt>
                <c:pt idx="37">
                  <c:v>36</c:v>
                </c:pt>
                <c:pt idx="38">
                  <c:v>42</c:v>
                </c:pt>
                <c:pt idx="39">
                  <c:v>17</c:v>
                </c:pt>
                <c:pt idx="40">
                  <c:v>84</c:v>
                </c:pt>
                <c:pt idx="41">
                  <c:v>68</c:v>
                </c:pt>
                <c:pt idx="42">
                  <c:v>54</c:v>
                </c:pt>
                <c:pt idx="43">
                  <c:v>79</c:v>
                </c:pt>
              </c:numCache>
            </c:numRef>
          </c:val>
          <c:extLst>
            <c:ext xmlns:c16="http://schemas.microsoft.com/office/drawing/2014/chart" uri="{C3380CC4-5D6E-409C-BE32-E72D297353CC}">
              <c16:uniqueId val="{00000000-3445-4A75-AAE1-66EEB9AD945D}"/>
            </c:ext>
          </c:extLst>
        </c:ser>
        <c:ser>
          <c:idx val="1"/>
          <c:order val="1"/>
          <c:tx>
            <c:strRef>
              <c:f>Sheet1!$C$3:$C$4</c:f>
              <c:strCache>
                <c:ptCount val="1"/>
                <c:pt idx="0">
                  <c:v>Online</c:v>
                </c:pt>
              </c:strCache>
            </c:strRef>
          </c:tx>
          <c:spPr>
            <a:solidFill>
              <a:schemeClr val="accent2"/>
            </a:solidFill>
            <a:ln>
              <a:noFill/>
            </a:ln>
            <a:effectLst/>
          </c:spPr>
          <c:invertIfNegative val="0"/>
          <c:cat>
            <c:strRef>
              <c:f>Sheet1!$A$5:$A$49</c:f>
              <c:strCache>
                <c:ptCount val="44"/>
                <c:pt idx="0">
                  <c:v>P0001</c:v>
                </c:pt>
                <c:pt idx="1">
                  <c:v>P0002</c:v>
                </c:pt>
                <c:pt idx="2">
                  <c:v>P0003</c:v>
                </c:pt>
                <c:pt idx="3">
                  <c:v>P0004</c:v>
                </c:pt>
                <c:pt idx="4">
                  <c:v>P0005</c:v>
                </c:pt>
                <c:pt idx="5">
                  <c:v>P0006</c:v>
                </c:pt>
                <c:pt idx="6">
                  <c:v>P0007</c:v>
                </c:pt>
                <c:pt idx="7">
                  <c:v>P0008</c:v>
                </c:pt>
                <c:pt idx="8">
                  <c:v>P0009</c:v>
                </c:pt>
                <c:pt idx="9">
                  <c:v>P0010</c:v>
                </c:pt>
                <c:pt idx="10">
                  <c:v>P0011</c:v>
                </c:pt>
                <c:pt idx="11">
                  <c:v>P0012</c:v>
                </c:pt>
                <c:pt idx="12">
                  <c:v>P0013</c:v>
                </c:pt>
                <c:pt idx="13">
                  <c:v>P0014</c:v>
                </c:pt>
                <c:pt idx="14">
                  <c:v>P0015</c:v>
                </c:pt>
                <c:pt idx="15">
                  <c:v>P0016</c:v>
                </c:pt>
                <c:pt idx="16">
                  <c:v>P0017</c:v>
                </c:pt>
                <c:pt idx="17">
                  <c:v>P0018</c:v>
                </c:pt>
                <c:pt idx="18">
                  <c:v>P0019</c:v>
                </c:pt>
                <c:pt idx="19">
                  <c:v>P0020</c:v>
                </c:pt>
                <c:pt idx="20">
                  <c:v>P0021</c:v>
                </c:pt>
                <c:pt idx="21">
                  <c:v>P0022</c:v>
                </c:pt>
                <c:pt idx="22">
                  <c:v>P0023</c:v>
                </c:pt>
                <c:pt idx="23">
                  <c:v>P0024</c:v>
                </c:pt>
                <c:pt idx="24">
                  <c:v>P0025</c:v>
                </c:pt>
                <c:pt idx="25">
                  <c:v>P0026</c:v>
                </c:pt>
                <c:pt idx="26">
                  <c:v>P0027</c:v>
                </c:pt>
                <c:pt idx="27">
                  <c:v>P0028</c:v>
                </c:pt>
                <c:pt idx="28">
                  <c:v>P0029</c:v>
                </c:pt>
                <c:pt idx="29">
                  <c:v>P0030</c:v>
                </c:pt>
                <c:pt idx="30">
                  <c:v>P0031</c:v>
                </c:pt>
                <c:pt idx="31">
                  <c:v>P0032</c:v>
                </c:pt>
                <c:pt idx="32">
                  <c:v>P0033</c:v>
                </c:pt>
                <c:pt idx="33">
                  <c:v>P0034</c:v>
                </c:pt>
                <c:pt idx="34">
                  <c:v>P0035</c:v>
                </c:pt>
                <c:pt idx="35">
                  <c:v>P0036</c:v>
                </c:pt>
                <c:pt idx="36">
                  <c:v>P0037</c:v>
                </c:pt>
                <c:pt idx="37">
                  <c:v>P0038</c:v>
                </c:pt>
                <c:pt idx="38">
                  <c:v>P0039</c:v>
                </c:pt>
                <c:pt idx="39">
                  <c:v>P0040</c:v>
                </c:pt>
                <c:pt idx="40">
                  <c:v>P0041</c:v>
                </c:pt>
                <c:pt idx="41">
                  <c:v>P0042</c:v>
                </c:pt>
                <c:pt idx="42">
                  <c:v>P0043</c:v>
                </c:pt>
                <c:pt idx="43">
                  <c:v>P0044</c:v>
                </c:pt>
              </c:strCache>
            </c:strRef>
          </c:cat>
          <c:val>
            <c:numRef>
              <c:f>Sheet1!$C$5:$C$49</c:f>
              <c:numCache>
                <c:formatCode>General</c:formatCode>
                <c:ptCount val="44"/>
                <c:pt idx="0">
                  <c:v>26</c:v>
                </c:pt>
                <c:pt idx="1">
                  <c:v>54</c:v>
                </c:pt>
                <c:pt idx="2">
                  <c:v>56</c:v>
                </c:pt>
                <c:pt idx="3">
                  <c:v>38</c:v>
                </c:pt>
                <c:pt idx="4">
                  <c:v>23</c:v>
                </c:pt>
                <c:pt idx="5">
                  <c:v>19</c:v>
                </c:pt>
                <c:pt idx="6">
                  <c:v>11</c:v>
                </c:pt>
                <c:pt idx="7">
                  <c:v>25</c:v>
                </c:pt>
                <c:pt idx="8">
                  <c:v>37</c:v>
                </c:pt>
                <c:pt idx="9">
                  <c:v>34</c:v>
                </c:pt>
                <c:pt idx="10">
                  <c:v>23</c:v>
                </c:pt>
                <c:pt idx="11">
                  <c:v>19</c:v>
                </c:pt>
                <c:pt idx="12">
                  <c:v>21</c:v>
                </c:pt>
                <c:pt idx="13">
                  <c:v>37</c:v>
                </c:pt>
                <c:pt idx="14">
                  <c:v>50</c:v>
                </c:pt>
                <c:pt idx="15">
                  <c:v>43</c:v>
                </c:pt>
                <c:pt idx="16">
                  <c:v>8</c:v>
                </c:pt>
                <c:pt idx="17">
                  <c:v>19</c:v>
                </c:pt>
                <c:pt idx="18">
                  <c:v>16</c:v>
                </c:pt>
                <c:pt idx="19">
                  <c:v>41</c:v>
                </c:pt>
                <c:pt idx="20">
                  <c:v>28</c:v>
                </c:pt>
                <c:pt idx="21">
                  <c:v>28</c:v>
                </c:pt>
                <c:pt idx="22">
                  <c:v>31</c:v>
                </c:pt>
                <c:pt idx="23">
                  <c:v>55</c:v>
                </c:pt>
                <c:pt idx="24">
                  <c:v>23</c:v>
                </c:pt>
                <c:pt idx="25">
                  <c:v>47</c:v>
                </c:pt>
                <c:pt idx="26">
                  <c:v>40</c:v>
                </c:pt>
                <c:pt idx="27">
                  <c:v>9</c:v>
                </c:pt>
                <c:pt idx="28">
                  <c:v>24</c:v>
                </c:pt>
                <c:pt idx="29">
                  <c:v>42</c:v>
                </c:pt>
                <c:pt idx="30">
                  <c:v>28</c:v>
                </c:pt>
                <c:pt idx="31">
                  <c:v>61</c:v>
                </c:pt>
                <c:pt idx="32">
                  <c:v>30</c:v>
                </c:pt>
                <c:pt idx="33">
                  <c:v>45</c:v>
                </c:pt>
                <c:pt idx="34">
                  <c:v>34</c:v>
                </c:pt>
                <c:pt idx="35">
                  <c:v>27</c:v>
                </c:pt>
                <c:pt idx="36">
                  <c:v>27</c:v>
                </c:pt>
                <c:pt idx="37">
                  <c:v>55</c:v>
                </c:pt>
                <c:pt idx="38">
                  <c:v>24</c:v>
                </c:pt>
                <c:pt idx="39">
                  <c:v>29</c:v>
                </c:pt>
                <c:pt idx="40">
                  <c:v>22</c:v>
                </c:pt>
                <c:pt idx="41">
                  <c:v>19</c:v>
                </c:pt>
                <c:pt idx="42">
                  <c:v>19</c:v>
                </c:pt>
                <c:pt idx="43">
                  <c:v>96</c:v>
                </c:pt>
              </c:numCache>
            </c:numRef>
          </c:val>
          <c:extLst>
            <c:ext xmlns:c16="http://schemas.microsoft.com/office/drawing/2014/chart" uri="{C3380CC4-5D6E-409C-BE32-E72D297353CC}">
              <c16:uniqueId val="{00000004-3445-4A75-AAE1-66EEB9AD945D}"/>
            </c:ext>
          </c:extLst>
        </c:ser>
        <c:ser>
          <c:idx val="2"/>
          <c:order val="2"/>
          <c:tx>
            <c:strRef>
              <c:f>Sheet1!$D$3:$D$4</c:f>
              <c:strCache>
                <c:ptCount val="1"/>
                <c:pt idx="0">
                  <c:v>Wholesaler</c:v>
                </c:pt>
              </c:strCache>
            </c:strRef>
          </c:tx>
          <c:spPr>
            <a:solidFill>
              <a:schemeClr val="accent3"/>
            </a:solidFill>
            <a:ln>
              <a:noFill/>
            </a:ln>
            <a:effectLst/>
          </c:spPr>
          <c:invertIfNegative val="0"/>
          <c:cat>
            <c:strRef>
              <c:f>Sheet1!$A$5:$A$49</c:f>
              <c:strCache>
                <c:ptCount val="44"/>
                <c:pt idx="0">
                  <c:v>P0001</c:v>
                </c:pt>
                <c:pt idx="1">
                  <c:v>P0002</c:v>
                </c:pt>
                <c:pt idx="2">
                  <c:v>P0003</c:v>
                </c:pt>
                <c:pt idx="3">
                  <c:v>P0004</c:v>
                </c:pt>
                <c:pt idx="4">
                  <c:v>P0005</c:v>
                </c:pt>
                <c:pt idx="5">
                  <c:v>P0006</c:v>
                </c:pt>
                <c:pt idx="6">
                  <c:v>P0007</c:v>
                </c:pt>
                <c:pt idx="7">
                  <c:v>P0008</c:v>
                </c:pt>
                <c:pt idx="8">
                  <c:v>P0009</c:v>
                </c:pt>
                <c:pt idx="9">
                  <c:v>P0010</c:v>
                </c:pt>
                <c:pt idx="10">
                  <c:v>P0011</c:v>
                </c:pt>
                <c:pt idx="11">
                  <c:v>P0012</c:v>
                </c:pt>
                <c:pt idx="12">
                  <c:v>P0013</c:v>
                </c:pt>
                <c:pt idx="13">
                  <c:v>P0014</c:v>
                </c:pt>
                <c:pt idx="14">
                  <c:v>P0015</c:v>
                </c:pt>
                <c:pt idx="15">
                  <c:v>P0016</c:v>
                </c:pt>
                <c:pt idx="16">
                  <c:v>P0017</c:v>
                </c:pt>
                <c:pt idx="17">
                  <c:v>P0018</c:v>
                </c:pt>
                <c:pt idx="18">
                  <c:v>P0019</c:v>
                </c:pt>
                <c:pt idx="19">
                  <c:v>P0020</c:v>
                </c:pt>
                <c:pt idx="20">
                  <c:v>P0021</c:v>
                </c:pt>
                <c:pt idx="21">
                  <c:v>P0022</c:v>
                </c:pt>
                <c:pt idx="22">
                  <c:v>P0023</c:v>
                </c:pt>
                <c:pt idx="23">
                  <c:v>P0024</c:v>
                </c:pt>
                <c:pt idx="24">
                  <c:v>P0025</c:v>
                </c:pt>
                <c:pt idx="25">
                  <c:v>P0026</c:v>
                </c:pt>
                <c:pt idx="26">
                  <c:v>P0027</c:v>
                </c:pt>
                <c:pt idx="27">
                  <c:v>P0028</c:v>
                </c:pt>
                <c:pt idx="28">
                  <c:v>P0029</c:v>
                </c:pt>
                <c:pt idx="29">
                  <c:v>P0030</c:v>
                </c:pt>
                <c:pt idx="30">
                  <c:v>P0031</c:v>
                </c:pt>
                <c:pt idx="31">
                  <c:v>P0032</c:v>
                </c:pt>
                <c:pt idx="32">
                  <c:v>P0033</c:v>
                </c:pt>
                <c:pt idx="33">
                  <c:v>P0034</c:v>
                </c:pt>
                <c:pt idx="34">
                  <c:v>P0035</c:v>
                </c:pt>
                <c:pt idx="35">
                  <c:v>P0036</c:v>
                </c:pt>
                <c:pt idx="36">
                  <c:v>P0037</c:v>
                </c:pt>
                <c:pt idx="37">
                  <c:v>P0038</c:v>
                </c:pt>
                <c:pt idx="38">
                  <c:v>P0039</c:v>
                </c:pt>
                <c:pt idx="39">
                  <c:v>P0040</c:v>
                </c:pt>
                <c:pt idx="40">
                  <c:v>P0041</c:v>
                </c:pt>
                <c:pt idx="41">
                  <c:v>P0042</c:v>
                </c:pt>
                <c:pt idx="42">
                  <c:v>P0043</c:v>
                </c:pt>
                <c:pt idx="43">
                  <c:v>P0044</c:v>
                </c:pt>
              </c:strCache>
            </c:strRef>
          </c:cat>
          <c:val>
            <c:numRef>
              <c:f>Sheet1!$D$5:$D$49</c:f>
              <c:numCache>
                <c:formatCode>General</c:formatCode>
                <c:ptCount val="44"/>
                <c:pt idx="0">
                  <c:v>17</c:v>
                </c:pt>
                <c:pt idx="1">
                  <c:v>9</c:v>
                </c:pt>
                <c:pt idx="3">
                  <c:v>32</c:v>
                </c:pt>
                <c:pt idx="4">
                  <c:v>20</c:v>
                </c:pt>
                <c:pt idx="7">
                  <c:v>14</c:v>
                </c:pt>
                <c:pt idx="8">
                  <c:v>4</c:v>
                </c:pt>
                <c:pt idx="10">
                  <c:v>16</c:v>
                </c:pt>
                <c:pt idx="11">
                  <c:v>15</c:v>
                </c:pt>
                <c:pt idx="12">
                  <c:v>9</c:v>
                </c:pt>
                <c:pt idx="13">
                  <c:v>5</c:v>
                </c:pt>
                <c:pt idx="14">
                  <c:v>15</c:v>
                </c:pt>
                <c:pt idx="15">
                  <c:v>15</c:v>
                </c:pt>
                <c:pt idx="16">
                  <c:v>12</c:v>
                </c:pt>
                <c:pt idx="17">
                  <c:v>13</c:v>
                </c:pt>
                <c:pt idx="18">
                  <c:v>28</c:v>
                </c:pt>
                <c:pt idx="19">
                  <c:v>15</c:v>
                </c:pt>
                <c:pt idx="21">
                  <c:v>18</c:v>
                </c:pt>
                <c:pt idx="22">
                  <c:v>8</c:v>
                </c:pt>
                <c:pt idx="23">
                  <c:v>10</c:v>
                </c:pt>
                <c:pt idx="25">
                  <c:v>16</c:v>
                </c:pt>
                <c:pt idx="26">
                  <c:v>14</c:v>
                </c:pt>
                <c:pt idx="27">
                  <c:v>23</c:v>
                </c:pt>
                <c:pt idx="28">
                  <c:v>9</c:v>
                </c:pt>
                <c:pt idx="29">
                  <c:v>9</c:v>
                </c:pt>
                <c:pt idx="31">
                  <c:v>15</c:v>
                </c:pt>
                <c:pt idx="32">
                  <c:v>20</c:v>
                </c:pt>
                <c:pt idx="33">
                  <c:v>27</c:v>
                </c:pt>
                <c:pt idx="35">
                  <c:v>26</c:v>
                </c:pt>
                <c:pt idx="36">
                  <c:v>1</c:v>
                </c:pt>
                <c:pt idx="37">
                  <c:v>20</c:v>
                </c:pt>
                <c:pt idx="38">
                  <c:v>27</c:v>
                </c:pt>
                <c:pt idx="39">
                  <c:v>21</c:v>
                </c:pt>
                <c:pt idx="40">
                  <c:v>26</c:v>
                </c:pt>
                <c:pt idx="41">
                  <c:v>40</c:v>
                </c:pt>
                <c:pt idx="43">
                  <c:v>24</c:v>
                </c:pt>
              </c:numCache>
            </c:numRef>
          </c:val>
          <c:extLst>
            <c:ext xmlns:c16="http://schemas.microsoft.com/office/drawing/2014/chart" uri="{C3380CC4-5D6E-409C-BE32-E72D297353CC}">
              <c16:uniqueId val="{00000005-3445-4A75-AAE1-66EEB9AD945D}"/>
            </c:ext>
          </c:extLst>
        </c:ser>
        <c:dLbls>
          <c:showLegendKey val="0"/>
          <c:showVal val="0"/>
          <c:showCatName val="0"/>
          <c:showSerName val="0"/>
          <c:showPercent val="0"/>
          <c:showBubbleSize val="0"/>
        </c:dLbls>
        <c:gapWidth val="219"/>
        <c:overlap val="-27"/>
        <c:axId val="216414336"/>
        <c:axId val="216431136"/>
      </c:barChart>
      <c:catAx>
        <c:axId val="216414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6431136"/>
        <c:crosses val="autoZero"/>
        <c:auto val="1"/>
        <c:lblAlgn val="ctr"/>
        <c:lblOffset val="100"/>
        <c:noMultiLvlLbl val="0"/>
      </c:catAx>
      <c:valAx>
        <c:axId val="2164311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6414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[Shruti Sudhir Gaikwad.xlsx]Sheet2!PivotTable2</c:name>
    <c:fmtId val="1"/>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Sheet2!$B$3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D25A-427F-8BDD-99820AF94FA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D25A-427F-8BDD-99820AF94FA8}"/>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D25A-427F-8BDD-99820AF94FA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Sheet2!$A$4:$A$7</c:f>
              <c:strCache>
                <c:ptCount val="3"/>
                <c:pt idx="0">
                  <c:v>Direct Sales</c:v>
                </c:pt>
                <c:pt idx="1">
                  <c:v>Online</c:v>
                </c:pt>
                <c:pt idx="2">
                  <c:v>Wholesaler</c:v>
                </c:pt>
              </c:strCache>
            </c:strRef>
          </c:cat>
          <c:val>
            <c:numRef>
              <c:f>Sheet2!$B$4:$B$7</c:f>
              <c:numCache>
                <c:formatCode>General</c:formatCode>
                <c:ptCount val="3"/>
                <c:pt idx="0">
                  <c:v>2244</c:v>
                </c:pt>
                <c:pt idx="1">
                  <c:v>1443</c:v>
                </c:pt>
                <c:pt idx="2">
                  <c:v>593</c:v>
                </c:pt>
              </c:numCache>
            </c:numRef>
          </c:val>
          <c:extLst>
            <c:ext xmlns:c16="http://schemas.microsoft.com/office/drawing/2014/chart" uri="{C3380CC4-5D6E-409C-BE32-E72D297353CC}">
              <c16:uniqueId val="{00000000-DCD6-45BF-9FE7-B777AFA399F3}"/>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[Shruti Sudhir Gaikwad.xlsx]Sheet4!PivotTable3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Sheet4!$B$3</c:f>
              <c:strCache>
                <c:ptCount val="1"/>
                <c:pt idx="0">
                  <c:v>Total</c:v>
                </c:pt>
              </c:strCache>
            </c:strRef>
          </c:tx>
          <c:spPr>
            <a:ln w="28575" cap="rnd">
              <a:solidFill>
                <a:schemeClr val="accent1"/>
              </a:solidFill>
              <a:round/>
            </a:ln>
            <a:effectLst/>
          </c:spPr>
          <c:marker>
            <c:symbol val="none"/>
          </c:marker>
          <c:cat>
            <c:strRef>
              <c:f>Sheet4!$A$4:$A$6</c:f>
              <c:strCache>
                <c:ptCount val="2"/>
                <c:pt idx="0">
                  <c:v>2021</c:v>
                </c:pt>
                <c:pt idx="1">
                  <c:v>2022</c:v>
                </c:pt>
              </c:strCache>
            </c:strRef>
          </c:cat>
          <c:val>
            <c:numRef>
              <c:f>Sheet4!$B$4:$B$6</c:f>
              <c:numCache>
                <c:formatCode>General</c:formatCode>
                <c:ptCount val="2"/>
                <c:pt idx="0">
                  <c:v>258</c:v>
                </c:pt>
                <c:pt idx="1">
                  <c:v>335</c:v>
                </c:pt>
              </c:numCache>
            </c:numRef>
          </c:val>
          <c:smooth val="0"/>
          <c:extLst>
            <c:ext xmlns:c16="http://schemas.microsoft.com/office/drawing/2014/chart" uri="{C3380CC4-5D6E-409C-BE32-E72D297353CC}">
              <c16:uniqueId val="{00000000-0492-4719-ACD9-0E5FC3EE8AE1}"/>
            </c:ext>
          </c:extLst>
        </c:ser>
        <c:dLbls>
          <c:showLegendKey val="0"/>
          <c:showVal val="0"/>
          <c:showCatName val="0"/>
          <c:showSerName val="0"/>
          <c:showPercent val="0"/>
          <c:showBubbleSize val="0"/>
        </c:dLbls>
        <c:smooth val="0"/>
        <c:axId val="216383616"/>
        <c:axId val="216395616"/>
      </c:lineChart>
      <c:catAx>
        <c:axId val="216383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6395616"/>
        <c:crosses val="autoZero"/>
        <c:auto val="1"/>
        <c:lblAlgn val="ctr"/>
        <c:lblOffset val="100"/>
        <c:noMultiLvlLbl val="0"/>
      </c:catAx>
      <c:valAx>
        <c:axId val="216395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6383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[Shruti Sudhir Gaikwad.xlsx]Sheet6!PivotTable4</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dLblPos val="ct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dLblPos val="ct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dLblPos val="ctr"/>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dLblPos val="ct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dLblPos val="ct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dLblPos val="ct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dLblPos val="ct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dLblPos val="ctr"/>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dLblPos val="ctr"/>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dLblPos val="ctr"/>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dLblPos val="ctr"/>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dLblPos val="ctr"/>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marker>
          <c:symbol val="none"/>
        </c:marker>
        <c:dLbl>
          <c:idx val="0"/>
          <c:dLblPos val="ctr"/>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marker>
          <c:symbol val="none"/>
        </c:marker>
        <c:dLbl>
          <c:idx val="0"/>
          <c:dLblPos val="ctr"/>
          <c:showLegendKey val="0"/>
          <c:showVal val="0"/>
          <c:showCatName val="1"/>
          <c:showSerName val="0"/>
          <c:showPercent val="1"/>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7"/>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9"/>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s>
    <c:plotArea>
      <c:layout/>
      <c:pieChart>
        <c:varyColors val="1"/>
        <c:ser>
          <c:idx val="0"/>
          <c:order val="0"/>
          <c:tx>
            <c:strRef>
              <c:f>Sheet6!$B$3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29B-4ACE-AF49-F96286D96A7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29B-4ACE-AF49-F96286D96A7C}"/>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Sheet6!$A$4:$A$6</c:f>
              <c:strCache>
                <c:ptCount val="2"/>
                <c:pt idx="0">
                  <c:v>Cash</c:v>
                </c:pt>
                <c:pt idx="1">
                  <c:v>Online</c:v>
                </c:pt>
              </c:strCache>
            </c:strRef>
          </c:cat>
          <c:val>
            <c:numRef>
              <c:f>Sheet6!$B$4:$B$6</c:f>
              <c:numCache>
                <c:formatCode>General</c:formatCode>
                <c:ptCount val="2"/>
                <c:pt idx="0">
                  <c:v>264</c:v>
                </c:pt>
                <c:pt idx="1">
                  <c:v>263</c:v>
                </c:pt>
              </c:numCache>
            </c:numRef>
          </c:val>
          <c:extLst>
            <c:ext xmlns:c16="http://schemas.microsoft.com/office/drawing/2014/chart" uri="{C3380CC4-5D6E-409C-BE32-E72D297353CC}">
              <c16:uniqueId val="{00000013-B10D-4B10-AB1A-4594B39FDE5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
    <cx:plotArea>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[0]!Category</cx:f>
      </cx:strDim>
      <cx:numDim type="size">
        <cx:f>[0]!CategoryRange</cx:f>
      </cx:numDim>
    </cx:data>
  </cx:chartData>
  <cx:chart>
    <cx:plotArea>
      <cx:plotAreaRegion>
        <cx:series layoutId="treemap" uniqueId="{87F6FC1B-4EED-4063-B899-246E1811DEA3}" formatIdx="0">
          <cx:spPr>
            <a:gradFill>
              <a:gsLst>
                <a:gs pos="0">
                  <a:srgbClr val="FFC000"/>
                </a:gs>
                <a:gs pos="0">
                  <a:srgbClr val="0070C0"/>
                </a:gs>
                <a:gs pos="0">
                  <a:srgbClr val="C00000"/>
                </a:gs>
              </a:gsLst>
              <a:lin ang="16200000" scaled="1"/>
            </a:gradFill>
            <a:ln>
              <a:solidFill>
                <a:schemeClr val="bg1">
                  <a:lumMod val="95000"/>
                </a:schemeClr>
              </a:solidFill>
            </a:ln>
          </cx:spPr>
          <cx:dataPt idx="0">
            <cx:spPr>
              <a:gradFill>
                <a:gsLst>
                  <a:gs pos="0">
                    <a:srgbClr val="FFC000"/>
                  </a:gs>
                  <a:gs pos="0">
                    <a:srgbClr val="0070C0"/>
                  </a:gs>
                  <a:gs pos="0">
                    <a:srgbClr val="002060"/>
                  </a:gs>
                </a:gsLst>
              </a:gradFill>
            </cx:spPr>
          </cx:dataPt>
          <cx:dataPt idx="1">
            <cx:spPr>
              <a:gradFill>
                <a:gsLst>
                  <a:gs pos="0">
                    <a:srgbClr val="FFC000"/>
                  </a:gs>
                  <a:gs pos="0">
                    <a:srgbClr val="0070C0"/>
                  </a:gs>
                  <a:gs pos="0">
                    <a:srgbClr val="C00000"/>
                  </a:gs>
                </a:gsLst>
              </a:gradFill>
            </cx:spPr>
          </cx:dataPt>
          <cx:dataPt idx="2">
            <cx:spPr>
              <a:gradFill>
                <a:gsLst>
                  <a:gs pos="0">
                    <a:srgbClr val="FFC000"/>
                  </a:gs>
                  <a:gs pos="0">
                    <a:srgbClr val="0070C0"/>
                  </a:gs>
                  <a:gs pos="0">
                    <a:srgbClr val="92D050"/>
                  </a:gs>
                </a:gsLst>
              </a:gradFill>
            </cx:spPr>
          </cx:dataPt>
          <cx:dataPt idx="3">
            <cx:spPr>
              <a:gradFill>
                <a:gsLst>
                  <a:gs pos="0">
                    <a:srgbClr val="FFC000"/>
                  </a:gs>
                  <a:gs pos="0">
                    <a:srgbClr val="0070C0"/>
                  </a:gs>
                  <a:gs pos="0">
                    <a:srgbClr val="FFC000"/>
                  </a:gs>
                </a:gsLst>
              </a:gradFill>
            </cx:spPr>
          </cx:dataPt>
          <cx:dataPt idx="4">
            <cx:spPr>
              <a:gradFill>
                <a:gsLst>
                  <a:gs pos="0">
                    <a:srgbClr val="FFC000"/>
                  </a:gs>
                  <a:gs pos="0">
                    <a:srgbClr val="0070C0"/>
                  </a:gs>
                  <a:gs pos="0">
                    <a:srgbClr val="0070C0"/>
                  </a:gs>
                </a:gsLst>
              </a:gradFill>
            </cx:spPr>
          </cx:dataPt>
          <cx:dataLabels pos="inEnd">
            <cx:spPr>
              <a:solidFill>
                <a:schemeClr val="tx1">
                  <a:lumMod val="85000"/>
                  <a:lumOff val="15000"/>
                </a:schemeClr>
              </a:solidFill>
              <a:ln>
                <a:solidFill>
                  <a:srgbClr val="FFC000"/>
                </a:solidFill>
              </a:ln>
            </cx:spPr>
            <cx:visibility seriesName="0" categoryName="1" value="1"/>
            <cx:separator>
</cx:separator>
          </cx:dataLabels>
          <cx:dataId val="0"/>
          <cx:layoutPr>
            <cx:parentLabelLayout val="none"/>
          </cx:layoutPr>
        </cx:series>
      </cx:plotAreaRegion>
    </cx:plotArea>
  </cx:chart>
</cx: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9">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65000"/>
        <a:lumOff val="35000"/>
      </a:schemeClr>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CheckBox" checked="Checked" fmlaLink="Analysis!$M$1" lockText="1" noThreeD="1"/>
</file>

<file path=xl/ctrlProps/ctrlProp2.xml><?xml version="1.0" encoding="utf-8"?>
<formControlPr xmlns="http://schemas.microsoft.com/office/spreadsheetml/2009/9/main" objectType="CheckBox" checked="Checked" fmlaLink="Analysis!$L$1" lockText="1" noThreeD="1"/>
</file>

<file path=xl/ctrlProps/ctrlProp3.xml><?xml version="1.0" encoding="utf-8"?>
<formControlPr xmlns="http://schemas.microsoft.com/office/spreadsheetml/2009/9/main" objectType="CheckBox" checked="Checked" fmlaLink="Analysis!$N$1" lockText="1" noThreeD="1"/>
</file>

<file path=xl/ctrlProps/ctrlProp4.xml><?xml version="1.0" encoding="utf-8"?>
<formControlPr xmlns="http://schemas.microsoft.com/office/spreadsheetml/2009/9/main" objectType="Scroll" dx="26" fmlaLink="Analysis!$Y$1" max="100" min="1" page="10"/>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microsoft.com/office/2014/relationships/chartEx" Target="../charts/chartEx2.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13</xdr:row>
      <xdr:rowOff>0</xdr:rowOff>
    </xdr:from>
    <xdr:to>
      <xdr:col>3</xdr:col>
      <xdr:colOff>1485900</xdr:colOff>
      <xdr:row>17</xdr:row>
      <xdr:rowOff>152400</xdr:rowOff>
    </xdr:to>
    <mc:AlternateContent xmlns:mc="http://schemas.openxmlformats.org/markup-compatibility/2006" xmlns:a14="http://schemas.microsoft.com/office/drawing/2010/main">
      <mc:Choice Requires="a14">
        <xdr:graphicFrame macro="">
          <xdr:nvGraphicFramePr>
            <xdr:cNvPr id="11" name="PAYMENT MODE">
              <a:extLst>
                <a:ext uri="{FF2B5EF4-FFF2-40B4-BE49-F238E27FC236}">
                  <a16:creationId xmlns:a16="http://schemas.microsoft.com/office/drawing/2014/main" id="{00000000-0008-0000-0000-00000B000000}"/>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mlns="">
        <xdr:sp macro="" textlink="">
          <xdr:nvSpPr>
            <xdr:cNvPr id="0" name=""/>
            <xdr:cNvSpPr>
              <a:spLocks noTextEdit="1"/>
            </xdr:cNvSpPr>
          </xdr:nvSpPr>
          <xdr:spPr>
            <a:xfrm>
              <a:off x="1996440" y="2560320"/>
              <a:ext cx="1485900" cy="883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22860</xdr:colOff>
      <xdr:row>5</xdr:row>
      <xdr:rowOff>0</xdr:rowOff>
    </xdr:from>
    <xdr:to>
      <xdr:col>7</xdr:col>
      <xdr:colOff>807720</xdr:colOff>
      <xdr:row>8</xdr:row>
      <xdr:rowOff>0</xdr:rowOff>
    </xdr:to>
    <mc:AlternateContent xmlns:mc="http://schemas.openxmlformats.org/markup-compatibility/2006" xmlns:a14="http://schemas.microsoft.com/office/drawing/2010/main">
      <mc:Choice Requires="a14">
        <xdr:graphicFrame macro="">
          <xdr:nvGraphicFramePr>
            <xdr:cNvPr id="12" name="Month">
              <a:extLst>
                <a:ext uri="{FF2B5EF4-FFF2-40B4-BE49-F238E27FC236}">
                  <a16:creationId xmlns:a16="http://schemas.microsoft.com/office/drawing/2014/main" id="{00000000-0008-0000-0000-00000C000000}"/>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684020" y="1097280"/>
              <a:ext cx="5760720" cy="548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525780</xdr:colOff>
      <xdr:row>23</xdr:row>
      <xdr:rowOff>53340</xdr:rowOff>
    </xdr:from>
    <xdr:to>
      <xdr:col>7</xdr:col>
      <xdr:colOff>0</xdr:colOff>
      <xdr:row>28</xdr:row>
      <xdr:rowOff>0</xdr:rowOff>
    </xdr:to>
    <mc:AlternateContent xmlns:mc="http://schemas.openxmlformats.org/markup-compatibility/2006" xmlns:a14="http://schemas.microsoft.com/office/drawing/2010/main">
      <mc:Choice Requires="a14">
        <xdr:graphicFrame macro="">
          <xdr:nvGraphicFramePr>
            <xdr:cNvPr id="13" name="Year">
              <a:extLst>
                <a:ext uri="{FF2B5EF4-FFF2-40B4-BE49-F238E27FC236}">
                  <a16:creationId xmlns:a16="http://schemas.microsoft.com/office/drawing/2014/main" id="{00000000-0008-0000-0000-00000D00000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715000" y="4442460"/>
              <a:ext cx="922020" cy="8610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0</xdr:colOff>
      <xdr:row>20</xdr:row>
      <xdr:rowOff>22860</xdr:rowOff>
    </xdr:from>
    <xdr:to>
      <xdr:col>5</xdr:col>
      <xdr:colOff>7620</xdr:colOff>
      <xdr:row>31</xdr:row>
      <xdr:rowOff>30480</xdr:rowOff>
    </xdr:to>
    <xdr:graphicFrame macro="">
      <xdr:nvGraphicFramePr>
        <xdr:cNvPr id="14" name="Chart 13">
          <a:extLst>
            <a:ext uri="{FF2B5EF4-FFF2-40B4-BE49-F238E27FC236}">
              <a16:creationId xmlns:a16="http://schemas.microsoft.com/office/drawing/2014/main" id="{00000000-0008-0000-00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358140</xdr:colOff>
      <xdr:row>16</xdr:row>
      <xdr:rowOff>0</xdr:rowOff>
    </xdr:from>
    <xdr:to>
      <xdr:col>10</xdr:col>
      <xdr:colOff>0</xdr:colOff>
      <xdr:row>23</xdr:row>
      <xdr:rowOff>167640</xdr:rowOff>
    </xdr:to>
    <xdr:graphicFrame macro="">
      <xdr:nvGraphicFramePr>
        <xdr:cNvPr id="15" name="Chart 14">
          <a:extLst>
            <a:ext uri="{FF2B5EF4-FFF2-40B4-BE49-F238E27FC236}">
              <a16:creationId xmlns:a16="http://schemas.microsoft.com/office/drawing/2014/main" id="{00000000-0008-0000-00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mc:AlternateContent xmlns:mc="http://schemas.openxmlformats.org/markup-compatibility/2006">
    <mc:Choice xmlns:a14="http://schemas.microsoft.com/office/drawing/2010/main" Requires="a14">
      <xdr:twoCellAnchor editAs="oneCell">
        <xdr:from>
          <xdr:col>8</xdr:col>
          <xdr:colOff>358140</xdr:colOff>
          <xdr:row>18</xdr:row>
          <xdr:rowOff>22860</xdr:rowOff>
        </xdr:from>
        <xdr:to>
          <xdr:col>8</xdr:col>
          <xdr:colOff>807720</xdr:colOff>
          <xdr:row>19</xdr:row>
          <xdr:rowOff>53340</xdr:rowOff>
        </xdr:to>
        <xdr:sp macro="" textlink="">
          <xdr:nvSpPr>
            <xdr:cNvPr id="1027" name="Check Box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358140</xdr:colOff>
          <xdr:row>18</xdr:row>
          <xdr:rowOff>22860</xdr:rowOff>
        </xdr:from>
        <xdr:to>
          <xdr:col>7</xdr:col>
          <xdr:colOff>807720</xdr:colOff>
          <xdr:row>19</xdr:row>
          <xdr:rowOff>53340</xdr:rowOff>
        </xdr:to>
        <xdr:sp macro="" textlink="">
          <xdr:nvSpPr>
            <xdr:cNvPr id="1028" name="Check Box 4"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876300</xdr:colOff>
          <xdr:row>18</xdr:row>
          <xdr:rowOff>15240</xdr:rowOff>
        </xdr:from>
        <xdr:to>
          <xdr:col>8</xdr:col>
          <xdr:colOff>1287780</xdr:colOff>
          <xdr:row>19</xdr:row>
          <xdr:rowOff>68580</xdr:rowOff>
        </xdr:to>
        <xdr:sp macro="" textlink="">
          <xdr:nvSpPr>
            <xdr:cNvPr id="1029" name="Check Box 5" hidden="1">
              <a:extLst>
                <a:ext uri="{63B3BB69-23CF-44E3-9099-C40C66FF867C}">
                  <a14:compatExt spid="_x0000_s1029"/>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23</xdr:col>
      <xdr:colOff>601980</xdr:colOff>
      <xdr:row>15</xdr:row>
      <xdr:rowOff>0</xdr:rowOff>
    </xdr:from>
    <xdr:to>
      <xdr:col>27</xdr:col>
      <xdr:colOff>0</xdr:colOff>
      <xdr:row>25</xdr:row>
      <xdr:rowOff>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mc:AlternateContent xmlns:mc="http://schemas.openxmlformats.org/markup-compatibility/2006">
    <mc:Choice xmlns:a14="http://schemas.microsoft.com/office/drawing/2010/main" Requires="a14">
      <xdr:twoCellAnchor editAs="oneCell">
        <xdr:from>
          <xdr:col>23</xdr:col>
          <xdr:colOff>381000</xdr:colOff>
          <xdr:row>12</xdr:row>
          <xdr:rowOff>175260</xdr:rowOff>
        </xdr:from>
        <xdr:to>
          <xdr:col>23</xdr:col>
          <xdr:colOff>601980</xdr:colOff>
          <xdr:row>24</xdr:row>
          <xdr:rowOff>76200</xdr:rowOff>
        </xdr:to>
        <xdr:sp macro="" textlink="">
          <xdr:nvSpPr>
            <xdr:cNvPr id="1030" name="Scroll Bar 6"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xdr:from>
      <xdr:col>36</xdr:col>
      <xdr:colOff>38100</xdr:colOff>
      <xdr:row>9</xdr:row>
      <xdr:rowOff>0</xdr:rowOff>
    </xdr:from>
    <xdr:to>
      <xdr:col>38</xdr:col>
      <xdr:colOff>586740</xdr:colOff>
      <xdr:row>21</xdr:row>
      <xdr:rowOff>45720</xdr:rowOff>
    </xdr:to>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39</xdr:col>
      <xdr:colOff>350520</xdr:colOff>
      <xdr:row>7</xdr:row>
      <xdr:rowOff>129540</xdr:rowOff>
    </xdr:from>
    <xdr:to>
      <xdr:col>42</xdr:col>
      <xdr:colOff>0</xdr:colOff>
      <xdr:row>20</xdr:row>
      <xdr:rowOff>0</xdr:rowOff>
    </xdr:to>
    <xdr:graphicFrame macro="">
      <xdr:nvGraphicFramePr>
        <xdr:cNvPr id="5" name="Chart 4">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4</xdr:col>
      <xdr:colOff>640080</xdr:colOff>
      <xdr:row>12</xdr:row>
      <xdr:rowOff>91440</xdr:rowOff>
    </xdr:from>
    <xdr:to>
      <xdr:col>6</xdr:col>
      <xdr:colOff>0</xdr:colOff>
      <xdr:row>19</xdr:row>
      <xdr:rowOff>68580</xdr:rowOff>
    </xdr:to>
    <mc:AlternateContent xmlns:mc="http://schemas.openxmlformats.org/markup-compatibility/2006" xmlns:a14="http://schemas.microsoft.com/office/drawing/2010/main">
      <mc:Choice Requires="a14">
        <xdr:graphicFrame macro="">
          <xdr:nvGraphicFramePr>
            <xdr:cNvPr id="10" name="SALE TYPE">
              <a:extLst>
                <a:ext uri="{FF2B5EF4-FFF2-40B4-BE49-F238E27FC236}">
                  <a16:creationId xmlns:a16="http://schemas.microsoft.com/office/drawing/2014/main" id="{00000000-0008-0000-0000-00000A000000}"/>
                </a:ext>
              </a:extLst>
            </xdr:cNvPr>
            <xdr:cNvGraphicFramePr/>
          </xdr:nvGraphicFramePr>
          <xdr:xfrm>
            <a:off x="0" y="0"/>
            <a:ext cx="0" cy="0"/>
          </xdr:xfrm>
          <a:graphic>
            <a:graphicData uri="http://schemas.microsoft.com/office/drawing/2010/slicer">
              <sle:slicer xmlns:sle="http://schemas.microsoft.com/office/drawing/2010/slicer" name="SALE TYPE"/>
            </a:graphicData>
          </a:graphic>
        </xdr:graphicFrame>
      </mc:Choice>
      <mc:Fallback xmlns="">
        <xdr:sp macro="" textlink="">
          <xdr:nvSpPr>
            <xdr:cNvPr id="0" name=""/>
            <xdr:cNvSpPr>
              <a:spLocks noTextEdit="1"/>
            </xdr:cNvSpPr>
          </xdr:nvSpPr>
          <xdr:spPr>
            <a:xfrm>
              <a:off x="4244340" y="2468880"/>
              <a:ext cx="1531620" cy="1257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29</xdr:col>
      <xdr:colOff>137160</xdr:colOff>
      <xdr:row>9</xdr:row>
      <xdr:rowOff>0</xdr:rowOff>
    </xdr:from>
    <xdr:to>
      <xdr:col>30</xdr:col>
      <xdr:colOff>0</xdr:colOff>
      <xdr:row>15</xdr:row>
      <xdr:rowOff>0</xdr:rowOff>
    </xdr:to>
    <mc:AlternateContent xmlns:mc="http://schemas.openxmlformats.org/markup-compatibility/2006">
      <mc:Choice xmlns:cx1="http://schemas.microsoft.com/office/drawing/2015/9/8/chartex" Requires="cx1">
        <xdr:graphicFrame macro="">
          <xdr:nvGraphicFramePr>
            <xdr:cNvPr id="7" name="Chart 6">
              <a:extLst>
                <a:ext uri="{FF2B5EF4-FFF2-40B4-BE49-F238E27FC236}">
                  <a16:creationId xmlns:a16="http://schemas.microsoft.com/office/drawing/2014/main" id="{00000000-0008-0000-0000-000007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26014680" y="1828800"/>
              <a:ext cx="662940" cy="10972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28</xdr:col>
      <xdr:colOff>0</xdr:colOff>
      <xdr:row>10</xdr:row>
      <xdr:rowOff>0</xdr:rowOff>
    </xdr:from>
    <xdr:to>
      <xdr:col>32</xdr:col>
      <xdr:colOff>0</xdr:colOff>
      <xdr:row>25</xdr:row>
      <xdr:rowOff>0</xdr:rowOff>
    </xdr:to>
    <mc:AlternateContent xmlns:mc="http://schemas.openxmlformats.org/markup-compatibility/2006">
      <mc:Choice xmlns:cx1="http://schemas.microsoft.com/office/drawing/2015/9/8/chartex" Requires="cx1">
        <xdr:graphicFrame macro="">
          <xdr:nvGraphicFramePr>
            <xdr:cNvPr id="8" name="Chart 7">
              <a:extLst>
                <a:ext uri="{FF2B5EF4-FFF2-40B4-BE49-F238E27FC236}">
                  <a16:creationId xmlns:a16="http://schemas.microsoft.com/office/drawing/2014/main" id="{00000000-0008-0000-0000-000008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25016460" y="2011680"/>
              <a:ext cx="294132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65315</xdr:colOff>
      <xdr:row>0</xdr:row>
      <xdr:rowOff>1</xdr:rowOff>
    </xdr:from>
    <xdr:to>
      <xdr:col>23</xdr:col>
      <xdr:colOff>76200</xdr:colOff>
      <xdr:row>32</xdr:row>
      <xdr:rowOff>21772</xdr:rowOff>
    </xdr:to>
    <xdr:sp macro="" textlink="">
      <xdr:nvSpPr>
        <xdr:cNvPr id="2" name="Rectangle 1">
          <a:extLst>
            <a:ext uri="{FF2B5EF4-FFF2-40B4-BE49-F238E27FC236}">
              <a16:creationId xmlns:a16="http://schemas.microsoft.com/office/drawing/2014/main" id="{F1413290-6BCB-E7FD-97C5-662BE1577DEE}"/>
            </a:ext>
          </a:extLst>
        </xdr:cNvPr>
        <xdr:cNvSpPr/>
      </xdr:nvSpPr>
      <xdr:spPr>
        <a:xfrm>
          <a:off x="65315" y="1"/>
          <a:ext cx="14031685" cy="5943600"/>
        </a:xfrm>
        <a:prstGeom prst="rect">
          <a:avLst/>
        </a:prstGeom>
        <a:solidFill>
          <a:schemeClr val="accent1">
            <a:lumMod val="40000"/>
            <a:lumOff val="60000"/>
          </a:schemeClr>
        </a:solidFill>
        <a:ln>
          <a:solidFill>
            <a:schemeClr val="accent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190500</xdr:colOff>
      <xdr:row>0</xdr:row>
      <xdr:rowOff>34290</xdr:rowOff>
    </xdr:from>
    <xdr:to>
      <xdr:col>22</xdr:col>
      <xdr:colOff>457200</xdr:colOff>
      <xdr:row>2</xdr:row>
      <xdr:rowOff>144780</xdr:rowOff>
    </xdr:to>
    <xdr:sp macro="" textlink="">
      <xdr:nvSpPr>
        <xdr:cNvPr id="4" name="TextBox 3">
          <a:extLst>
            <a:ext uri="{FF2B5EF4-FFF2-40B4-BE49-F238E27FC236}">
              <a16:creationId xmlns:a16="http://schemas.microsoft.com/office/drawing/2014/main" id="{F14C3238-72AB-99B9-84DC-6ACEF657A862}"/>
            </a:ext>
          </a:extLst>
        </xdr:cNvPr>
        <xdr:cNvSpPr txBox="1"/>
      </xdr:nvSpPr>
      <xdr:spPr>
        <a:xfrm>
          <a:off x="190500" y="34290"/>
          <a:ext cx="13677900" cy="476250"/>
        </a:xfrm>
        <a:prstGeom prst="rect">
          <a:avLst/>
        </a:prstGeom>
        <a:solidFill>
          <a:schemeClr val="lt1"/>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a:solidFill>
                <a:schemeClr val="accent1">
                  <a:lumMod val="50000"/>
                </a:schemeClr>
              </a:solidFill>
              <a:latin typeface="Cooper Black" panose="0208090404030B020404" pitchFamily="18" charset="0"/>
            </a:rPr>
            <a:t>SALES DASHBOARD</a:t>
          </a:r>
        </a:p>
      </xdr:txBody>
    </xdr:sp>
    <xdr:clientData/>
  </xdr:twoCellAnchor>
  <xdr:twoCellAnchor>
    <xdr:from>
      <xdr:col>0</xdr:col>
      <xdr:colOff>228600</xdr:colOff>
      <xdr:row>3</xdr:row>
      <xdr:rowOff>68580</xdr:rowOff>
    </xdr:from>
    <xdr:to>
      <xdr:col>8</xdr:col>
      <xdr:colOff>91440</xdr:colOff>
      <xdr:row>15</xdr:row>
      <xdr:rowOff>152400</xdr:rowOff>
    </xdr:to>
    <xdr:graphicFrame macro="">
      <xdr:nvGraphicFramePr>
        <xdr:cNvPr id="5" name="Chart 4">
          <a:extLst>
            <a:ext uri="{FF2B5EF4-FFF2-40B4-BE49-F238E27FC236}">
              <a16:creationId xmlns:a16="http://schemas.microsoft.com/office/drawing/2014/main" id="{6261F8E4-BEB2-46BF-BC17-A7B4B82724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220981</xdr:colOff>
      <xdr:row>3</xdr:row>
      <xdr:rowOff>53340</xdr:rowOff>
    </xdr:from>
    <xdr:to>
      <xdr:col>14</xdr:col>
      <xdr:colOff>160021</xdr:colOff>
      <xdr:row>15</xdr:row>
      <xdr:rowOff>60960</xdr:rowOff>
    </xdr:to>
    <mc:AlternateContent xmlns:mc="http://schemas.openxmlformats.org/markup-compatibility/2006" xmlns:a14="http://schemas.microsoft.com/office/drawing/2010/main">
      <mc:Choice Requires="a14">
        <xdr:graphicFrame macro="">
          <xdr:nvGraphicFramePr>
            <xdr:cNvPr id="7" name="PRODUCT ID 1">
              <a:extLst>
                <a:ext uri="{FF2B5EF4-FFF2-40B4-BE49-F238E27FC236}">
                  <a16:creationId xmlns:a16="http://schemas.microsoft.com/office/drawing/2014/main" id="{6B312AC3-C341-4EC3-B361-ED919B34DF5A}"/>
                </a:ext>
              </a:extLst>
            </xdr:cNvPr>
            <xdr:cNvGraphicFramePr/>
          </xdr:nvGraphicFramePr>
          <xdr:xfrm>
            <a:off x="0" y="0"/>
            <a:ext cx="0" cy="0"/>
          </xdr:xfrm>
          <a:graphic>
            <a:graphicData uri="http://schemas.microsoft.com/office/drawing/2010/slicer">
              <sle:slicer xmlns:sle="http://schemas.microsoft.com/office/drawing/2010/slicer" name="PRODUCT ID 1"/>
            </a:graphicData>
          </a:graphic>
        </xdr:graphicFrame>
      </mc:Choice>
      <mc:Fallback xmlns="">
        <xdr:sp macro="" textlink="">
          <xdr:nvSpPr>
            <xdr:cNvPr id="0" name=""/>
            <xdr:cNvSpPr>
              <a:spLocks noTextEdit="1"/>
            </xdr:cNvSpPr>
          </xdr:nvSpPr>
          <xdr:spPr>
            <a:xfrm>
              <a:off x="6926581" y="608511"/>
              <a:ext cx="1767840" cy="22283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228601</xdr:colOff>
      <xdr:row>3</xdr:row>
      <xdr:rowOff>53341</xdr:rowOff>
    </xdr:from>
    <xdr:to>
      <xdr:col>17</xdr:col>
      <xdr:colOff>175260</xdr:colOff>
      <xdr:row>15</xdr:row>
      <xdr:rowOff>38100</xdr:rowOff>
    </xdr:to>
    <mc:AlternateContent xmlns:mc="http://schemas.openxmlformats.org/markup-compatibility/2006" xmlns:a14="http://schemas.microsoft.com/office/drawing/2010/main">
      <mc:Choice Requires="a14">
        <xdr:graphicFrame macro="">
          <xdr:nvGraphicFramePr>
            <xdr:cNvPr id="8" name="Year 3">
              <a:extLst>
                <a:ext uri="{FF2B5EF4-FFF2-40B4-BE49-F238E27FC236}">
                  <a16:creationId xmlns:a16="http://schemas.microsoft.com/office/drawing/2014/main" id="{19D1BC1B-4686-4197-97EC-1DA715774904}"/>
                </a:ext>
              </a:extLst>
            </xdr:cNvPr>
            <xdr:cNvGraphicFramePr/>
          </xdr:nvGraphicFramePr>
          <xdr:xfrm>
            <a:off x="0" y="0"/>
            <a:ext cx="0" cy="0"/>
          </xdr:xfrm>
          <a:graphic>
            <a:graphicData uri="http://schemas.microsoft.com/office/drawing/2010/slicer">
              <sle:slicer xmlns:sle="http://schemas.microsoft.com/office/drawing/2010/slicer" name="Year 3"/>
            </a:graphicData>
          </a:graphic>
        </xdr:graphicFrame>
      </mc:Choice>
      <mc:Fallback xmlns="">
        <xdr:sp macro="" textlink="">
          <xdr:nvSpPr>
            <xdr:cNvPr id="0" name=""/>
            <xdr:cNvSpPr>
              <a:spLocks noTextEdit="1"/>
            </xdr:cNvSpPr>
          </xdr:nvSpPr>
          <xdr:spPr>
            <a:xfrm>
              <a:off x="8763001" y="608512"/>
              <a:ext cx="1775459" cy="22054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190500</xdr:colOff>
      <xdr:row>3</xdr:row>
      <xdr:rowOff>76200</xdr:rowOff>
    </xdr:from>
    <xdr:to>
      <xdr:col>11</xdr:col>
      <xdr:colOff>137160</xdr:colOff>
      <xdr:row>15</xdr:row>
      <xdr:rowOff>68579</xdr:rowOff>
    </xdr:to>
    <mc:AlternateContent xmlns:mc="http://schemas.openxmlformats.org/markup-compatibility/2006" xmlns:a14="http://schemas.microsoft.com/office/drawing/2010/main">
      <mc:Choice Requires="a14">
        <xdr:graphicFrame macro="">
          <xdr:nvGraphicFramePr>
            <xdr:cNvPr id="6" name="SALE TYPE 3">
              <a:extLst>
                <a:ext uri="{FF2B5EF4-FFF2-40B4-BE49-F238E27FC236}">
                  <a16:creationId xmlns:a16="http://schemas.microsoft.com/office/drawing/2014/main" id="{1E527BA1-BC15-4A3B-BCCC-B1B61A7121EB}"/>
                </a:ext>
              </a:extLst>
            </xdr:cNvPr>
            <xdr:cNvGraphicFramePr/>
          </xdr:nvGraphicFramePr>
          <xdr:xfrm>
            <a:off x="0" y="0"/>
            <a:ext cx="0" cy="0"/>
          </xdr:xfrm>
          <a:graphic>
            <a:graphicData uri="http://schemas.microsoft.com/office/drawing/2010/slicer">
              <sle:slicer xmlns:sle="http://schemas.microsoft.com/office/drawing/2010/slicer" name="SALE TYPE 3"/>
            </a:graphicData>
          </a:graphic>
        </xdr:graphicFrame>
      </mc:Choice>
      <mc:Fallback xmlns="">
        <xdr:sp macro="" textlink="">
          <xdr:nvSpPr>
            <xdr:cNvPr id="0" name=""/>
            <xdr:cNvSpPr>
              <a:spLocks noTextEdit="1"/>
            </xdr:cNvSpPr>
          </xdr:nvSpPr>
          <xdr:spPr>
            <a:xfrm>
              <a:off x="5067300" y="631371"/>
              <a:ext cx="1775460" cy="22130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239486</xdr:colOff>
      <xdr:row>3</xdr:row>
      <xdr:rowOff>54430</xdr:rowOff>
    </xdr:from>
    <xdr:to>
      <xdr:col>22</xdr:col>
      <xdr:colOff>478971</xdr:colOff>
      <xdr:row>15</xdr:row>
      <xdr:rowOff>10886</xdr:rowOff>
    </xdr:to>
    <xdr:graphicFrame macro="">
      <xdr:nvGraphicFramePr>
        <xdr:cNvPr id="9" name="Chart 8">
          <a:extLst>
            <a:ext uri="{FF2B5EF4-FFF2-40B4-BE49-F238E27FC236}">
              <a16:creationId xmlns:a16="http://schemas.microsoft.com/office/drawing/2014/main" id="{937EC690-7289-4C2A-9E06-1B509BDC2B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250371</xdr:colOff>
      <xdr:row>16</xdr:row>
      <xdr:rowOff>141514</xdr:rowOff>
    </xdr:from>
    <xdr:to>
      <xdr:col>6</xdr:col>
      <xdr:colOff>478971</xdr:colOff>
      <xdr:row>29</xdr:row>
      <xdr:rowOff>65314</xdr:rowOff>
    </xdr:to>
    <xdr:graphicFrame macro="">
      <xdr:nvGraphicFramePr>
        <xdr:cNvPr id="10" name="Chart 9">
          <a:extLst>
            <a:ext uri="{FF2B5EF4-FFF2-40B4-BE49-F238E27FC236}">
              <a16:creationId xmlns:a16="http://schemas.microsoft.com/office/drawing/2014/main" id="{8A297624-D448-47C1-AAFC-96088424A4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598715</xdr:colOff>
      <xdr:row>17</xdr:row>
      <xdr:rowOff>2</xdr:rowOff>
    </xdr:from>
    <xdr:to>
      <xdr:col>10</xdr:col>
      <xdr:colOff>32657</xdr:colOff>
      <xdr:row>29</xdr:row>
      <xdr:rowOff>119744</xdr:rowOff>
    </xdr:to>
    <mc:AlternateContent xmlns:mc="http://schemas.openxmlformats.org/markup-compatibility/2006" xmlns:a14="http://schemas.microsoft.com/office/drawing/2010/main">
      <mc:Choice Requires="a14">
        <xdr:graphicFrame macro="">
          <xdr:nvGraphicFramePr>
            <xdr:cNvPr id="11" name="SALE TYPE 5">
              <a:extLst>
                <a:ext uri="{FF2B5EF4-FFF2-40B4-BE49-F238E27FC236}">
                  <a16:creationId xmlns:a16="http://schemas.microsoft.com/office/drawing/2014/main" id="{9E3EF295-2798-4A6A-9B4E-18F0E7001087}"/>
                </a:ext>
              </a:extLst>
            </xdr:cNvPr>
            <xdr:cNvGraphicFramePr/>
          </xdr:nvGraphicFramePr>
          <xdr:xfrm>
            <a:off x="0" y="0"/>
            <a:ext cx="0" cy="0"/>
          </xdr:xfrm>
          <a:graphic>
            <a:graphicData uri="http://schemas.microsoft.com/office/drawing/2010/slicer">
              <sle:slicer xmlns:sle="http://schemas.microsoft.com/office/drawing/2010/slicer" name="SALE TYPE 5"/>
            </a:graphicData>
          </a:graphic>
        </xdr:graphicFrame>
      </mc:Choice>
      <mc:Fallback xmlns="">
        <xdr:sp macro="" textlink="">
          <xdr:nvSpPr>
            <xdr:cNvPr id="0" name=""/>
            <xdr:cNvSpPr>
              <a:spLocks noTextEdit="1"/>
            </xdr:cNvSpPr>
          </xdr:nvSpPr>
          <xdr:spPr>
            <a:xfrm>
              <a:off x="4256315" y="3145973"/>
              <a:ext cx="1872342" cy="23404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119742</xdr:colOff>
      <xdr:row>17</xdr:row>
      <xdr:rowOff>32658</xdr:rowOff>
    </xdr:from>
    <xdr:to>
      <xdr:col>15</xdr:col>
      <xdr:colOff>402771</xdr:colOff>
      <xdr:row>29</xdr:row>
      <xdr:rowOff>1</xdr:rowOff>
    </xdr:to>
    <xdr:graphicFrame macro="">
      <xdr:nvGraphicFramePr>
        <xdr:cNvPr id="12" name="Chart 11">
          <a:extLst>
            <a:ext uri="{FF2B5EF4-FFF2-40B4-BE49-F238E27FC236}">
              <a16:creationId xmlns:a16="http://schemas.microsoft.com/office/drawing/2014/main" id="{43E2144E-2194-439A-A2FA-71273ABB53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457200</xdr:colOff>
      <xdr:row>17</xdr:row>
      <xdr:rowOff>32658</xdr:rowOff>
    </xdr:from>
    <xdr:to>
      <xdr:col>18</xdr:col>
      <xdr:colOff>522514</xdr:colOff>
      <xdr:row>23</xdr:row>
      <xdr:rowOff>174172</xdr:rowOff>
    </xdr:to>
    <xdr:sp macro="" textlink="">
      <xdr:nvSpPr>
        <xdr:cNvPr id="19" name="Rectangle 18">
          <a:extLst>
            <a:ext uri="{FF2B5EF4-FFF2-40B4-BE49-F238E27FC236}">
              <a16:creationId xmlns:a16="http://schemas.microsoft.com/office/drawing/2014/main" id="{6BC56255-E685-2216-4267-0618B4B02610}"/>
            </a:ext>
          </a:extLst>
        </xdr:cNvPr>
        <xdr:cNvSpPr/>
      </xdr:nvSpPr>
      <xdr:spPr>
        <a:xfrm>
          <a:off x="9601200" y="3178629"/>
          <a:ext cx="1894114" cy="1251857"/>
        </a:xfrm>
        <a:prstGeom prst="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533400</xdr:colOff>
      <xdr:row>18</xdr:row>
      <xdr:rowOff>-1</xdr:rowOff>
    </xdr:from>
    <xdr:to>
      <xdr:col>18</xdr:col>
      <xdr:colOff>413658</xdr:colOff>
      <xdr:row>20</xdr:row>
      <xdr:rowOff>76199</xdr:rowOff>
    </xdr:to>
    <xdr:sp macro="" textlink="">
      <xdr:nvSpPr>
        <xdr:cNvPr id="14" name="Rectangle 13">
          <a:extLst>
            <a:ext uri="{FF2B5EF4-FFF2-40B4-BE49-F238E27FC236}">
              <a16:creationId xmlns:a16="http://schemas.microsoft.com/office/drawing/2014/main" id="{57FA219A-91B0-A4DE-F2EB-AB98958D9C96}"/>
            </a:ext>
          </a:extLst>
        </xdr:cNvPr>
        <xdr:cNvSpPr/>
      </xdr:nvSpPr>
      <xdr:spPr>
        <a:xfrm>
          <a:off x="9677400" y="3331028"/>
          <a:ext cx="1709058" cy="446314"/>
        </a:xfrm>
        <a:prstGeom prst="rect">
          <a:avLst/>
        </a:prstGeom>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a:latin typeface="Arial Narrow" panose="020B0606020202030204" pitchFamily="34" charset="0"/>
            </a:rPr>
            <a:t>Total Products</a:t>
          </a:r>
        </a:p>
      </xdr:txBody>
    </xdr:sp>
    <xdr:clientData/>
  </xdr:twoCellAnchor>
  <xdr:twoCellAnchor>
    <xdr:from>
      <xdr:col>16</xdr:col>
      <xdr:colOff>391886</xdr:colOff>
      <xdr:row>21</xdr:row>
      <xdr:rowOff>54429</xdr:rowOff>
    </xdr:from>
    <xdr:to>
      <xdr:col>17</xdr:col>
      <xdr:colOff>522514</xdr:colOff>
      <xdr:row>23</xdr:row>
      <xdr:rowOff>87086</xdr:rowOff>
    </xdr:to>
    <xdr:sp macro="" textlink="kpi!B2">
      <xdr:nvSpPr>
        <xdr:cNvPr id="13" name="Rectangle 12">
          <a:extLst>
            <a:ext uri="{FF2B5EF4-FFF2-40B4-BE49-F238E27FC236}">
              <a16:creationId xmlns:a16="http://schemas.microsoft.com/office/drawing/2014/main" id="{DAE65C1D-C0E6-430E-D2DF-37F77FAF8174}"/>
            </a:ext>
          </a:extLst>
        </xdr:cNvPr>
        <xdr:cNvSpPr/>
      </xdr:nvSpPr>
      <xdr:spPr>
        <a:xfrm>
          <a:off x="10145486" y="3940629"/>
          <a:ext cx="740228" cy="402771"/>
        </a:xfrm>
        <a:prstGeom prst="rect">
          <a:avLst/>
        </a:prstGeom>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365F034-872A-4B76-A916-26EF36B7CB10}" type="TxLink">
            <a:rPr lang="en-US" sz="1600" b="0" i="0" u="none" strike="noStrike">
              <a:solidFill>
                <a:schemeClr val="bg1"/>
              </a:solidFill>
              <a:latin typeface="Calibri"/>
              <a:ea typeface="Calibri"/>
              <a:cs typeface="Calibri"/>
            </a:rPr>
            <a:pPr algn="ctr"/>
            <a:t>45</a:t>
          </a:fld>
          <a:endParaRPr lang="en-IN" sz="1600">
            <a:solidFill>
              <a:schemeClr val="bg1"/>
            </a:solidFill>
          </a:endParaRPr>
        </a:p>
      </xdr:txBody>
    </xdr:sp>
    <xdr:clientData/>
  </xdr:twoCellAnchor>
  <xdr:twoCellAnchor>
    <xdr:from>
      <xdr:col>18</xdr:col>
      <xdr:colOff>555171</xdr:colOff>
      <xdr:row>17</xdr:row>
      <xdr:rowOff>32658</xdr:rowOff>
    </xdr:from>
    <xdr:to>
      <xdr:col>22</xdr:col>
      <xdr:colOff>10885</xdr:colOff>
      <xdr:row>23</xdr:row>
      <xdr:rowOff>174172</xdr:rowOff>
    </xdr:to>
    <xdr:sp macro="" textlink="">
      <xdr:nvSpPr>
        <xdr:cNvPr id="20" name="Rectangle 19">
          <a:extLst>
            <a:ext uri="{FF2B5EF4-FFF2-40B4-BE49-F238E27FC236}">
              <a16:creationId xmlns:a16="http://schemas.microsoft.com/office/drawing/2014/main" id="{618EC6A7-0801-4679-8EBA-B30D6B477F5F}"/>
            </a:ext>
          </a:extLst>
        </xdr:cNvPr>
        <xdr:cNvSpPr/>
      </xdr:nvSpPr>
      <xdr:spPr>
        <a:xfrm>
          <a:off x="11527971" y="3178629"/>
          <a:ext cx="1894114" cy="1251857"/>
        </a:xfrm>
        <a:prstGeom prst="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10885</xdr:colOff>
      <xdr:row>17</xdr:row>
      <xdr:rowOff>174171</xdr:rowOff>
    </xdr:from>
    <xdr:to>
      <xdr:col>21</xdr:col>
      <xdr:colOff>500743</xdr:colOff>
      <xdr:row>20</xdr:row>
      <xdr:rowOff>65313</xdr:rowOff>
    </xdr:to>
    <xdr:sp macro="" textlink="">
      <xdr:nvSpPr>
        <xdr:cNvPr id="15" name="Rectangle 14">
          <a:extLst>
            <a:ext uri="{FF2B5EF4-FFF2-40B4-BE49-F238E27FC236}">
              <a16:creationId xmlns:a16="http://schemas.microsoft.com/office/drawing/2014/main" id="{E76D406E-79AD-45A6-9609-B5E43A7354A2}"/>
            </a:ext>
          </a:extLst>
        </xdr:cNvPr>
        <xdr:cNvSpPr/>
      </xdr:nvSpPr>
      <xdr:spPr>
        <a:xfrm>
          <a:off x="11593285" y="3320142"/>
          <a:ext cx="1709058" cy="446314"/>
        </a:xfrm>
        <a:prstGeom prst="rect">
          <a:avLst/>
        </a:prstGeom>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a:latin typeface="Arial Narrow" panose="020B0606020202030204" pitchFamily="34" charset="0"/>
            </a:rPr>
            <a:t>Avg</a:t>
          </a:r>
          <a:r>
            <a:rPr lang="en-IN" sz="1800" baseline="0">
              <a:latin typeface="Arial Narrow" panose="020B0606020202030204" pitchFamily="34" charset="0"/>
            </a:rPr>
            <a:t> Buying Price</a:t>
          </a:r>
          <a:endParaRPr lang="en-IN" sz="1800">
            <a:latin typeface="Arial Narrow" panose="020B0606020202030204" pitchFamily="34" charset="0"/>
          </a:endParaRPr>
        </a:p>
      </xdr:txBody>
    </xdr:sp>
    <xdr:clientData/>
  </xdr:twoCellAnchor>
  <xdr:twoCellAnchor>
    <xdr:from>
      <xdr:col>19</xdr:col>
      <xdr:colOff>511629</xdr:colOff>
      <xdr:row>21</xdr:row>
      <xdr:rowOff>21772</xdr:rowOff>
    </xdr:from>
    <xdr:to>
      <xdr:col>21</xdr:col>
      <xdr:colOff>32657</xdr:colOff>
      <xdr:row>23</xdr:row>
      <xdr:rowOff>54429</xdr:rowOff>
    </xdr:to>
    <xdr:sp macro="" textlink="kpi!B4">
      <xdr:nvSpPr>
        <xdr:cNvPr id="16" name="Rectangle 15">
          <a:extLst>
            <a:ext uri="{FF2B5EF4-FFF2-40B4-BE49-F238E27FC236}">
              <a16:creationId xmlns:a16="http://schemas.microsoft.com/office/drawing/2014/main" id="{237E9516-AF5D-48C0-A7A6-8F71AA418B49}"/>
            </a:ext>
          </a:extLst>
        </xdr:cNvPr>
        <xdr:cNvSpPr/>
      </xdr:nvSpPr>
      <xdr:spPr>
        <a:xfrm>
          <a:off x="12094029" y="3907972"/>
          <a:ext cx="740228" cy="402771"/>
        </a:xfrm>
        <a:prstGeom prst="rect">
          <a:avLst/>
        </a:prstGeom>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541D8CA-D2DB-433A-882F-7B5C8EA49378}" type="TxLink">
            <a:rPr lang="en-US" sz="1200" b="0" i="0" u="none" strike="noStrike">
              <a:solidFill>
                <a:schemeClr val="bg1"/>
              </a:solidFill>
              <a:latin typeface="Calibri"/>
              <a:ea typeface="Calibri"/>
              <a:cs typeface="Calibri"/>
            </a:rPr>
            <a:pPr algn="ctr"/>
            <a:t> ₹ 78.56 </a:t>
          </a:fld>
          <a:endParaRPr lang="en-IN" sz="1200">
            <a:solidFill>
              <a:schemeClr val="bg1"/>
            </a:solidFill>
          </a:endParaRPr>
        </a:p>
      </xdr:txBody>
    </xdr:sp>
    <xdr:clientData/>
  </xdr:twoCellAnchor>
  <xdr:twoCellAnchor>
    <xdr:from>
      <xdr:col>17</xdr:col>
      <xdr:colOff>195943</xdr:colOff>
      <xdr:row>24</xdr:row>
      <xdr:rowOff>43544</xdr:rowOff>
    </xdr:from>
    <xdr:to>
      <xdr:col>20</xdr:col>
      <xdr:colOff>261257</xdr:colOff>
      <xdr:row>31</xdr:row>
      <xdr:rowOff>1</xdr:rowOff>
    </xdr:to>
    <xdr:sp macro="" textlink="">
      <xdr:nvSpPr>
        <xdr:cNvPr id="21" name="Rectangle 20">
          <a:extLst>
            <a:ext uri="{FF2B5EF4-FFF2-40B4-BE49-F238E27FC236}">
              <a16:creationId xmlns:a16="http://schemas.microsoft.com/office/drawing/2014/main" id="{5C42B737-79D9-437F-9D9E-FA58234F9C0B}"/>
            </a:ext>
          </a:extLst>
        </xdr:cNvPr>
        <xdr:cNvSpPr/>
      </xdr:nvSpPr>
      <xdr:spPr>
        <a:xfrm>
          <a:off x="10559143" y="4484915"/>
          <a:ext cx="1894114" cy="1251857"/>
        </a:xfrm>
        <a:prstGeom prst="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293914</xdr:colOff>
      <xdr:row>24</xdr:row>
      <xdr:rowOff>141514</xdr:rowOff>
    </xdr:from>
    <xdr:to>
      <xdr:col>20</xdr:col>
      <xdr:colOff>174172</xdr:colOff>
      <xdr:row>27</xdr:row>
      <xdr:rowOff>32656</xdr:rowOff>
    </xdr:to>
    <xdr:sp macro="" textlink="">
      <xdr:nvSpPr>
        <xdr:cNvPr id="17" name="Rectangle 16">
          <a:extLst>
            <a:ext uri="{FF2B5EF4-FFF2-40B4-BE49-F238E27FC236}">
              <a16:creationId xmlns:a16="http://schemas.microsoft.com/office/drawing/2014/main" id="{6188BA13-D310-4CFE-AA81-A940C14D5536}"/>
            </a:ext>
          </a:extLst>
        </xdr:cNvPr>
        <xdr:cNvSpPr/>
      </xdr:nvSpPr>
      <xdr:spPr>
        <a:xfrm>
          <a:off x="10657114" y="4582885"/>
          <a:ext cx="1709058" cy="446314"/>
        </a:xfrm>
        <a:prstGeom prst="rect">
          <a:avLst/>
        </a:prstGeom>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a:latin typeface="Arial Narrow" panose="020B0606020202030204" pitchFamily="34" charset="0"/>
            </a:rPr>
            <a:t>Profit</a:t>
          </a:r>
          <a:r>
            <a:rPr lang="en-IN" sz="1800" baseline="0">
              <a:latin typeface="Arial Narrow" panose="020B0606020202030204" pitchFamily="34" charset="0"/>
            </a:rPr>
            <a:t> Margin %</a:t>
          </a:r>
          <a:endParaRPr lang="en-IN" sz="1800">
            <a:latin typeface="Arial Narrow" panose="020B0606020202030204" pitchFamily="34" charset="0"/>
          </a:endParaRPr>
        </a:p>
      </xdr:txBody>
    </xdr:sp>
    <xdr:clientData/>
  </xdr:twoCellAnchor>
  <xdr:twoCellAnchor>
    <xdr:from>
      <xdr:col>18</xdr:col>
      <xdr:colOff>163285</xdr:colOff>
      <xdr:row>27</xdr:row>
      <xdr:rowOff>174172</xdr:rowOff>
    </xdr:from>
    <xdr:to>
      <xdr:col>19</xdr:col>
      <xdr:colOff>293913</xdr:colOff>
      <xdr:row>30</xdr:row>
      <xdr:rowOff>21772</xdr:rowOff>
    </xdr:to>
    <xdr:sp macro="" textlink="kpi!B6">
      <xdr:nvSpPr>
        <xdr:cNvPr id="18" name="Rectangle 17">
          <a:extLst>
            <a:ext uri="{FF2B5EF4-FFF2-40B4-BE49-F238E27FC236}">
              <a16:creationId xmlns:a16="http://schemas.microsoft.com/office/drawing/2014/main" id="{59A2A244-52ED-45AF-9342-0B80965F542D}"/>
            </a:ext>
          </a:extLst>
        </xdr:cNvPr>
        <xdr:cNvSpPr/>
      </xdr:nvSpPr>
      <xdr:spPr>
        <a:xfrm>
          <a:off x="11136085" y="5170715"/>
          <a:ext cx="740228" cy="402771"/>
        </a:xfrm>
        <a:prstGeom prst="rect">
          <a:avLst/>
        </a:prstGeom>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2E5F82E-367E-495A-B712-C340123C2766}" type="TxLink">
            <a:rPr lang="en-US" sz="1200" b="0" i="0" u="none" strike="noStrike">
              <a:solidFill>
                <a:schemeClr val="bg1"/>
              </a:solidFill>
              <a:latin typeface="Calibri"/>
              <a:ea typeface="Calibri"/>
              <a:cs typeface="Calibri"/>
            </a:rPr>
            <a:pPr algn="ctr"/>
            <a:t>20%</a:t>
          </a:fld>
          <a:endParaRPr lang="en-IN" sz="1200">
            <a:solidFill>
              <a:schemeClr val="bg1"/>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30480</xdr:colOff>
      <xdr:row>0</xdr:row>
      <xdr:rowOff>30480</xdr:rowOff>
    </xdr:from>
    <xdr:to>
      <xdr:col>8</xdr:col>
      <xdr:colOff>358140</xdr:colOff>
      <xdr:row>27</xdr:row>
      <xdr:rowOff>7620</xdr:rowOff>
    </xdr:to>
    <xdr:sp macro="" textlink="">
      <xdr:nvSpPr>
        <xdr:cNvPr id="2" name="Rectangle 1">
          <a:extLst>
            <a:ext uri="{FF2B5EF4-FFF2-40B4-BE49-F238E27FC236}">
              <a16:creationId xmlns:a16="http://schemas.microsoft.com/office/drawing/2014/main" id="{8726EE3F-F923-B3DE-F5F8-512638F9D9C0}"/>
            </a:ext>
          </a:extLst>
        </xdr:cNvPr>
        <xdr:cNvSpPr/>
      </xdr:nvSpPr>
      <xdr:spPr>
        <a:xfrm>
          <a:off x="30480" y="30480"/>
          <a:ext cx="5204460" cy="4914900"/>
        </a:xfrm>
        <a:prstGeom prst="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121920</xdr:colOff>
      <xdr:row>2</xdr:row>
      <xdr:rowOff>167640</xdr:rowOff>
    </xdr:from>
    <xdr:to>
      <xdr:col>8</xdr:col>
      <xdr:colOff>213360</xdr:colOff>
      <xdr:row>26</xdr:row>
      <xdr:rowOff>91440</xdr:rowOff>
    </xdr:to>
    <xdr:sp macro="" textlink="">
      <xdr:nvSpPr>
        <xdr:cNvPr id="12289" name="Text Box 1">
          <a:extLst>
            <a:ext uri="{FF2B5EF4-FFF2-40B4-BE49-F238E27FC236}">
              <a16:creationId xmlns:a16="http://schemas.microsoft.com/office/drawing/2014/main" id="{C2AC473C-4D90-D0BD-E8EE-BCFDA4BEBEB2}"/>
            </a:ext>
          </a:extLst>
        </xdr:cNvPr>
        <xdr:cNvSpPr txBox="1">
          <a:spLocks noChangeArrowheads="1"/>
        </xdr:cNvSpPr>
      </xdr:nvSpPr>
      <xdr:spPr bwMode="auto">
        <a:xfrm>
          <a:off x="121920" y="533400"/>
          <a:ext cx="4968240" cy="4312920"/>
        </a:xfrm>
        <a:prstGeom prst="rect">
          <a:avLst/>
        </a:prstGeom>
        <a:solidFill>
          <a:srgbClr val="FFFFFF"/>
        </a:solidFill>
        <a:ln w="9525">
          <a:solidFill>
            <a:srgbClr val="000000"/>
          </a:solidFill>
          <a:miter lim="800000"/>
          <a:headEnd/>
          <a:tailEnd/>
        </a:ln>
      </xdr:spPr>
      <xdr:txBody>
        <a:bodyPr vertOverflow="clip" wrap="square" lIns="36576" tIns="32004" rIns="0" bIns="0" anchor="t" upright="1"/>
        <a:lstStyle/>
        <a:p>
          <a:pPr algn="l" rtl="0">
            <a:defRPr sz="1000"/>
          </a:pPr>
          <a:r>
            <a:rPr lang="en-IN" sz="1050" b="0" i="0" u="none" strike="noStrike" baseline="0">
              <a:solidFill>
                <a:srgbClr val="000000"/>
              </a:solidFill>
              <a:latin typeface="Calibri"/>
              <a:ea typeface="Calibri"/>
              <a:cs typeface="Calibri"/>
            </a:rPr>
            <a:t>Total Products: There are 45 products tracked across different categories.</a:t>
          </a:r>
        </a:p>
        <a:p>
          <a:pPr algn="l" rtl="0">
            <a:defRPr sz="1000"/>
          </a:pPr>
          <a:endParaRPr lang="en-IN" sz="1050" b="0" i="0" u="none" strike="noStrike" baseline="0">
            <a:solidFill>
              <a:srgbClr val="000000"/>
            </a:solidFill>
            <a:latin typeface="Calibri"/>
            <a:ea typeface="Calibri"/>
            <a:cs typeface="Calibri"/>
          </a:endParaRPr>
        </a:p>
        <a:p>
          <a:pPr algn="l" rtl="0">
            <a:defRPr sz="1000"/>
          </a:pPr>
          <a:r>
            <a:rPr lang="en-IN" sz="1050" b="0" i="0" u="none" strike="noStrike" baseline="0">
              <a:solidFill>
                <a:srgbClr val="000000"/>
              </a:solidFill>
              <a:latin typeface="Calibri"/>
              <a:ea typeface="Calibri"/>
              <a:cs typeface="Calibri"/>
            </a:rPr>
            <a:t>Average Buying Price: The average cost per product is ₹78.56, showing efficient purchasing.</a:t>
          </a:r>
        </a:p>
        <a:p>
          <a:pPr algn="l" rtl="0">
            <a:defRPr sz="1000"/>
          </a:pPr>
          <a:endParaRPr lang="en-IN" sz="1050" b="0" i="0" u="none" strike="noStrike" baseline="0">
            <a:solidFill>
              <a:srgbClr val="000000"/>
            </a:solidFill>
            <a:latin typeface="Calibri"/>
            <a:ea typeface="Calibri"/>
            <a:cs typeface="Calibri"/>
          </a:endParaRPr>
        </a:p>
        <a:p>
          <a:pPr algn="l" rtl="0">
            <a:defRPr sz="1000"/>
          </a:pPr>
          <a:r>
            <a:rPr lang="en-IN" sz="1050" b="0" i="0" u="none" strike="noStrike" baseline="0">
              <a:solidFill>
                <a:srgbClr val="000000"/>
              </a:solidFill>
              <a:latin typeface="Calibri"/>
              <a:ea typeface="Calibri"/>
              <a:cs typeface="Calibri"/>
            </a:rPr>
            <a:t>Profit Margin: The average profit margin is 20%, indicating healthy profitability.</a:t>
          </a:r>
        </a:p>
        <a:p>
          <a:pPr algn="l" rtl="0">
            <a:defRPr sz="1000"/>
          </a:pPr>
          <a:endParaRPr lang="en-IN" sz="1050" b="0" i="0" u="none" strike="noStrike" baseline="0">
            <a:solidFill>
              <a:srgbClr val="000000"/>
            </a:solidFill>
            <a:latin typeface="Calibri"/>
            <a:ea typeface="Calibri"/>
            <a:cs typeface="Calibri"/>
          </a:endParaRPr>
        </a:p>
        <a:p>
          <a:pPr algn="l" rtl="0">
            <a:defRPr sz="1000"/>
          </a:pPr>
          <a:r>
            <a:rPr lang="en-IN" sz="1050" b="0" i="0" u="none" strike="noStrike" baseline="0">
              <a:solidFill>
                <a:srgbClr val="000000"/>
              </a:solidFill>
              <a:latin typeface="Calibri"/>
              <a:ea typeface="Calibri"/>
              <a:cs typeface="Calibri"/>
            </a:rPr>
            <a:t>Top Sale Type: Direct Sales contribute the most to total revenue (around 52%).</a:t>
          </a:r>
        </a:p>
        <a:p>
          <a:pPr algn="l" rtl="0">
            <a:defRPr sz="1000"/>
          </a:pPr>
          <a:endParaRPr lang="en-IN" sz="1050" b="0" i="0" u="none" strike="noStrike" baseline="0">
            <a:solidFill>
              <a:srgbClr val="000000"/>
            </a:solidFill>
            <a:latin typeface="Calibri"/>
            <a:ea typeface="Calibri"/>
            <a:cs typeface="Calibri"/>
          </a:endParaRPr>
        </a:p>
        <a:p>
          <a:pPr algn="l" rtl="0">
            <a:defRPr sz="1000"/>
          </a:pPr>
          <a:r>
            <a:rPr lang="en-IN" sz="1050" b="0" i="0" u="none" strike="noStrike" baseline="0">
              <a:solidFill>
                <a:srgbClr val="000000"/>
              </a:solidFill>
              <a:latin typeface="Calibri"/>
              <a:ea typeface="Calibri"/>
              <a:cs typeface="Calibri"/>
            </a:rPr>
            <a:t>Payment Methods: Cash and Online sales are evenly split (50%-50%), suggesting balanced transaction modes.</a:t>
          </a:r>
        </a:p>
        <a:p>
          <a:pPr algn="l" rtl="0">
            <a:defRPr sz="1000"/>
          </a:pPr>
          <a:endParaRPr lang="en-IN" sz="1050" b="0" i="0" u="none" strike="noStrike" baseline="0">
            <a:solidFill>
              <a:srgbClr val="000000"/>
            </a:solidFill>
            <a:latin typeface="Calibri"/>
            <a:ea typeface="Calibri"/>
            <a:cs typeface="Calibri"/>
          </a:endParaRPr>
        </a:p>
        <a:p>
          <a:pPr algn="l" rtl="0">
            <a:defRPr sz="1000"/>
          </a:pPr>
          <a:r>
            <a:rPr lang="en-IN" sz="1050" b="0" i="0" u="none" strike="noStrike" baseline="0">
              <a:solidFill>
                <a:srgbClr val="000000"/>
              </a:solidFill>
              <a:latin typeface="Calibri"/>
              <a:ea typeface="Calibri"/>
              <a:cs typeface="Calibri"/>
            </a:rPr>
            <a:t>Sales Growth: There is a noticeable increase in sales from 2021 to 2022, showing positive business growth.</a:t>
          </a:r>
        </a:p>
        <a:p>
          <a:pPr algn="l" rtl="0">
            <a:defRPr sz="1000"/>
          </a:pPr>
          <a:endParaRPr lang="en-IN" sz="1050" b="0" i="0" u="none" strike="noStrike" baseline="0">
            <a:solidFill>
              <a:srgbClr val="000000"/>
            </a:solidFill>
            <a:latin typeface="Calibri"/>
            <a:ea typeface="Calibri"/>
            <a:cs typeface="Calibri"/>
          </a:endParaRPr>
        </a:p>
        <a:p>
          <a:pPr algn="l" rtl="0">
            <a:defRPr sz="1000"/>
          </a:pPr>
          <a:r>
            <a:rPr lang="en-IN" sz="1050" b="0" i="0" u="none" strike="noStrike" baseline="0">
              <a:solidFill>
                <a:srgbClr val="000000"/>
              </a:solidFill>
              <a:latin typeface="Calibri"/>
              <a:ea typeface="Calibri"/>
              <a:cs typeface="Calibri"/>
            </a:rPr>
            <a:t>Category Distribution: Most products fall under Category01, implying a focused product range.</a:t>
          </a:r>
        </a:p>
        <a:p>
          <a:pPr algn="l" rtl="0">
            <a:defRPr sz="1000"/>
          </a:pPr>
          <a:endParaRPr lang="en-IN" sz="1050" b="0" i="0" u="none" strike="noStrike" baseline="0">
            <a:solidFill>
              <a:srgbClr val="000000"/>
            </a:solidFill>
            <a:latin typeface="Calibri"/>
            <a:ea typeface="Calibri"/>
            <a:cs typeface="Calibri"/>
          </a:endParaRPr>
        </a:p>
        <a:p>
          <a:pPr algn="l" rtl="0">
            <a:defRPr sz="1000"/>
          </a:pPr>
          <a:r>
            <a:rPr lang="en-IN" sz="1050" b="0" i="0" u="none" strike="noStrike" baseline="0">
              <a:solidFill>
                <a:srgbClr val="000000"/>
              </a:solidFill>
              <a:latin typeface="Calibri"/>
              <a:ea typeface="Calibri"/>
              <a:cs typeface="Calibri"/>
            </a:rPr>
            <a:t>High Performing Products: Certain product IDs (like P003, P008, P020) show higher sales figures than others.</a:t>
          </a:r>
        </a:p>
        <a:p>
          <a:pPr algn="l" rtl="0">
            <a:defRPr sz="1000"/>
          </a:pPr>
          <a:endParaRPr lang="en-IN" sz="1050" b="0" i="0" u="none" strike="noStrike" baseline="0">
            <a:solidFill>
              <a:srgbClr val="000000"/>
            </a:solidFill>
            <a:latin typeface="Calibri"/>
            <a:ea typeface="Calibri"/>
            <a:cs typeface="Calibri"/>
          </a:endParaRPr>
        </a:p>
        <a:p>
          <a:pPr algn="l" rtl="0">
            <a:defRPr sz="1000"/>
          </a:pPr>
          <a:r>
            <a:rPr lang="en-IN" sz="1050" b="0" i="0" u="none" strike="noStrike" baseline="0">
              <a:solidFill>
                <a:srgbClr val="000000"/>
              </a:solidFill>
              <a:latin typeface="Calibri"/>
              <a:ea typeface="Calibri"/>
              <a:cs typeface="Calibri"/>
            </a:rPr>
            <a:t>Customer Preference: The Online sale type also shows consistent performance — an opportunity to expand.</a:t>
          </a:r>
        </a:p>
        <a:p>
          <a:pPr algn="l" rtl="0">
            <a:defRPr sz="1000"/>
          </a:pPr>
          <a:endParaRPr lang="en-IN" sz="1050" b="0" i="0" u="none" strike="noStrike" baseline="0">
            <a:solidFill>
              <a:srgbClr val="000000"/>
            </a:solidFill>
            <a:latin typeface="Calibri"/>
            <a:ea typeface="Calibri"/>
            <a:cs typeface="Calibri"/>
          </a:endParaRPr>
        </a:p>
        <a:p>
          <a:pPr algn="l" rtl="0">
            <a:defRPr sz="1000"/>
          </a:pPr>
          <a:r>
            <a:rPr lang="en-IN" sz="1050" b="0" i="0" u="none" strike="noStrike" baseline="0">
              <a:solidFill>
                <a:srgbClr val="000000"/>
              </a:solidFill>
              <a:latin typeface="Calibri"/>
              <a:ea typeface="Calibri"/>
              <a:cs typeface="Calibri"/>
            </a:rPr>
            <a:t>Data Trend: Variations between buying and selling prices suggest strong pricing strategies for profitability.</a:t>
          </a:r>
        </a:p>
      </xdr:txBody>
    </xdr:sp>
    <xdr:clientData/>
  </xdr:twoCellAnchor>
  <xdr:twoCellAnchor>
    <xdr:from>
      <xdr:col>8</xdr:col>
      <xdr:colOff>457200</xdr:colOff>
      <xdr:row>0</xdr:row>
      <xdr:rowOff>15240</xdr:rowOff>
    </xdr:from>
    <xdr:to>
      <xdr:col>17</xdr:col>
      <xdr:colOff>175260</xdr:colOff>
      <xdr:row>26</xdr:row>
      <xdr:rowOff>175260</xdr:rowOff>
    </xdr:to>
    <xdr:sp macro="" textlink="">
      <xdr:nvSpPr>
        <xdr:cNvPr id="3" name="Rectangle 2">
          <a:extLst>
            <a:ext uri="{FF2B5EF4-FFF2-40B4-BE49-F238E27FC236}">
              <a16:creationId xmlns:a16="http://schemas.microsoft.com/office/drawing/2014/main" id="{B3BFD00A-6FDA-4D48-B503-F96680E25535}"/>
            </a:ext>
          </a:extLst>
        </xdr:cNvPr>
        <xdr:cNvSpPr/>
      </xdr:nvSpPr>
      <xdr:spPr>
        <a:xfrm>
          <a:off x="5334000" y="15240"/>
          <a:ext cx="5204460" cy="4914900"/>
        </a:xfrm>
        <a:prstGeom prst="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563433</xdr:colOff>
      <xdr:row>3</xdr:row>
      <xdr:rowOff>175708</xdr:rowOff>
    </xdr:from>
    <xdr:to>
      <xdr:col>17</xdr:col>
      <xdr:colOff>8965</xdr:colOff>
      <xdr:row>25</xdr:row>
      <xdr:rowOff>4033</xdr:rowOff>
    </xdr:to>
    <xdr:sp macro="" textlink="">
      <xdr:nvSpPr>
        <xdr:cNvPr id="12290" name="Text Box 2">
          <a:extLst>
            <a:ext uri="{FF2B5EF4-FFF2-40B4-BE49-F238E27FC236}">
              <a16:creationId xmlns:a16="http://schemas.microsoft.com/office/drawing/2014/main" id="{E5A1F067-61D1-56F5-FE55-54274BA9D4C4}"/>
            </a:ext>
          </a:extLst>
        </xdr:cNvPr>
        <xdr:cNvSpPr txBox="1">
          <a:spLocks noChangeArrowheads="1"/>
        </xdr:cNvSpPr>
      </xdr:nvSpPr>
      <xdr:spPr bwMode="auto">
        <a:xfrm>
          <a:off x="5440233" y="713590"/>
          <a:ext cx="4931932" cy="3772796"/>
        </a:xfrm>
        <a:prstGeom prst="rect">
          <a:avLst/>
        </a:prstGeom>
        <a:solidFill>
          <a:srgbClr val="FFFFFF"/>
        </a:solidFill>
        <a:ln w="9525">
          <a:solidFill>
            <a:srgbClr val="000000"/>
          </a:solidFill>
          <a:miter lim="800000"/>
          <a:headEnd/>
          <a:tailEnd/>
        </a:ln>
      </xdr:spPr>
      <xdr:txBody>
        <a:bodyPr vertOverflow="clip" wrap="square" lIns="36576" tIns="32004" rIns="0" bIns="0" anchor="t" upright="1"/>
        <a:lstStyle/>
        <a:p>
          <a:pPr algn="l" rtl="0">
            <a:defRPr sz="1000"/>
          </a:pPr>
          <a:r>
            <a:rPr lang="en-IN" sz="1100" b="0" i="0" u="none" strike="noStrike" baseline="0">
              <a:solidFill>
                <a:srgbClr val="000000"/>
              </a:solidFill>
              <a:latin typeface="Calibri"/>
              <a:ea typeface="Calibri"/>
              <a:cs typeface="Calibri"/>
            </a:rPr>
            <a:t>Add a KPI for Total Sales Revenue – helps measure overall performance in ₹.</a:t>
          </a:r>
        </a:p>
        <a:p>
          <a:pPr algn="l" rtl="0">
            <a:defRPr sz="1000"/>
          </a:pPr>
          <a:endParaRPr lang="en-IN" sz="1100" b="0" i="0" u="none" strike="noStrike" baseline="0">
            <a:solidFill>
              <a:srgbClr val="000000"/>
            </a:solidFill>
            <a:latin typeface="Calibri"/>
            <a:ea typeface="Calibri"/>
            <a:cs typeface="Calibri"/>
          </a:endParaRPr>
        </a:p>
        <a:p>
          <a:pPr algn="l" rtl="0">
            <a:defRPr sz="1000"/>
          </a:pPr>
          <a:r>
            <a:rPr lang="en-IN" sz="1100" b="0" i="0" u="none" strike="noStrike" baseline="0">
              <a:solidFill>
                <a:srgbClr val="000000"/>
              </a:solidFill>
              <a:latin typeface="Calibri"/>
              <a:ea typeface="Calibri"/>
              <a:cs typeface="Calibri"/>
            </a:rPr>
            <a:t>Include a “Top 5 Products” bar chart to quickly identify bestsellers.</a:t>
          </a:r>
        </a:p>
        <a:p>
          <a:pPr algn="l" rtl="0">
            <a:defRPr sz="1000"/>
          </a:pPr>
          <a:endParaRPr lang="en-IN" sz="1100" b="0" i="0" u="none" strike="noStrike" baseline="0">
            <a:solidFill>
              <a:srgbClr val="000000"/>
            </a:solidFill>
            <a:latin typeface="Calibri"/>
            <a:ea typeface="Calibri"/>
            <a:cs typeface="Calibri"/>
          </a:endParaRPr>
        </a:p>
        <a:p>
          <a:pPr algn="l" rtl="0">
            <a:defRPr sz="1000"/>
          </a:pPr>
          <a:r>
            <a:rPr lang="en-IN" sz="1100" b="0" i="0" u="none" strike="noStrike" baseline="0">
              <a:solidFill>
                <a:srgbClr val="000000"/>
              </a:solidFill>
              <a:latin typeface="Calibri"/>
              <a:ea typeface="Calibri"/>
              <a:cs typeface="Calibri"/>
            </a:rPr>
            <a:t>Add category-wise profit comparison for better decision-making.</a:t>
          </a:r>
        </a:p>
        <a:p>
          <a:pPr algn="l" rtl="0">
            <a:defRPr sz="1000"/>
          </a:pPr>
          <a:endParaRPr lang="en-IN" sz="1100" b="0" i="0" u="none" strike="noStrike" baseline="0">
            <a:solidFill>
              <a:srgbClr val="000000"/>
            </a:solidFill>
            <a:latin typeface="Calibri"/>
            <a:ea typeface="Calibri"/>
            <a:cs typeface="Calibri"/>
          </a:endParaRPr>
        </a:p>
        <a:p>
          <a:pPr algn="l" rtl="0">
            <a:defRPr sz="1000"/>
          </a:pPr>
          <a:r>
            <a:rPr lang="en-IN" sz="1100" b="0" i="0" u="none" strike="noStrike" baseline="0">
              <a:solidFill>
                <a:srgbClr val="000000"/>
              </a:solidFill>
              <a:latin typeface="Calibri"/>
              <a:ea typeface="Calibri"/>
              <a:cs typeface="Calibri"/>
            </a:rPr>
            <a:t>Add trendline or sparkline in charts to show month-wise performance.</a:t>
          </a:r>
        </a:p>
        <a:p>
          <a:pPr algn="l" rtl="0">
            <a:defRPr sz="1000"/>
          </a:pPr>
          <a:endParaRPr lang="en-IN" sz="1100" b="0" i="0" u="none" strike="noStrike" baseline="0">
            <a:solidFill>
              <a:srgbClr val="000000"/>
            </a:solidFill>
            <a:latin typeface="Calibri"/>
            <a:ea typeface="Calibri"/>
            <a:cs typeface="Calibri"/>
          </a:endParaRPr>
        </a:p>
        <a:p>
          <a:pPr algn="l" rtl="0">
            <a:defRPr sz="1000"/>
          </a:pPr>
          <a:r>
            <a:rPr lang="en-IN" sz="1100" b="0" i="0" u="none" strike="noStrike" baseline="0">
              <a:solidFill>
                <a:srgbClr val="000000"/>
              </a:solidFill>
              <a:latin typeface="Calibri"/>
              <a:ea typeface="Calibri"/>
              <a:cs typeface="Calibri"/>
            </a:rPr>
            <a:t>Include filters for Region/City if available, to make it more interactive.</a:t>
          </a:r>
        </a:p>
        <a:p>
          <a:pPr algn="l" rtl="0">
            <a:defRPr sz="1000"/>
          </a:pPr>
          <a:endParaRPr lang="en-IN" sz="1100" b="0" i="0" u="none" strike="noStrike" baseline="0">
            <a:solidFill>
              <a:srgbClr val="000000"/>
            </a:solidFill>
            <a:latin typeface="Calibri"/>
            <a:ea typeface="Calibri"/>
            <a:cs typeface="Calibri"/>
          </a:endParaRPr>
        </a:p>
        <a:p>
          <a:pPr algn="l" rtl="0">
            <a:defRPr sz="1000"/>
          </a:pPr>
          <a:r>
            <a:rPr lang="en-IN" sz="1100" b="0" i="0" u="none" strike="noStrike" baseline="0">
              <a:solidFill>
                <a:srgbClr val="000000"/>
              </a:solidFill>
              <a:latin typeface="Calibri"/>
              <a:ea typeface="Calibri"/>
              <a:cs typeface="Calibri"/>
            </a:rPr>
            <a:t>Add slicer for Category to analyze each category’s sales independently.</a:t>
          </a:r>
        </a:p>
        <a:p>
          <a:pPr algn="l" rtl="0">
            <a:defRPr sz="1000"/>
          </a:pPr>
          <a:endParaRPr lang="en-IN" sz="1100" b="0" i="0" u="none" strike="noStrike" baseline="0">
            <a:solidFill>
              <a:srgbClr val="000000"/>
            </a:solidFill>
            <a:latin typeface="Calibri"/>
            <a:ea typeface="Calibri"/>
            <a:cs typeface="Calibri"/>
          </a:endParaRPr>
        </a:p>
        <a:p>
          <a:pPr algn="l" rtl="0">
            <a:defRPr sz="1000"/>
          </a:pPr>
          <a:r>
            <a:rPr lang="en-IN" sz="1100" b="0" i="0" u="none" strike="noStrike" baseline="0">
              <a:solidFill>
                <a:srgbClr val="000000"/>
              </a:solidFill>
              <a:latin typeface="Calibri"/>
              <a:ea typeface="Calibri"/>
              <a:cs typeface="Calibri"/>
            </a:rPr>
            <a:t>Add a KPI for Average Selling Price to compare against buying cost.</a:t>
          </a:r>
        </a:p>
        <a:p>
          <a:pPr algn="l" rtl="0">
            <a:defRPr sz="1000"/>
          </a:pPr>
          <a:endParaRPr lang="en-IN" sz="1100" b="0" i="0" u="none" strike="noStrike" baseline="0">
            <a:solidFill>
              <a:srgbClr val="000000"/>
            </a:solidFill>
            <a:latin typeface="Calibri"/>
            <a:ea typeface="Calibri"/>
            <a:cs typeface="Calibri"/>
          </a:endParaRPr>
        </a:p>
        <a:p>
          <a:pPr algn="l" rtl="0">
            <a:defRPr sz="1000"/>
          </a:pPr>
          <a:r>
            <a:rPr lang="en-IN" sz="1100" b="0" i="0" u="none" strike="noStrike" baseline="0">
              <a:solidFill>
                <a:srgbClr val="000000"/>
              </a:solidFill>
              <a:latin typeface="Calibri"/>
              <a:ea typeface="Calibri"/>
              <a:cs typeface="Calibri"/>
            </a:rPr>
            <a:t>Use conditional formatting in pivot tables to highlight high vs low profits.</a:t>
          </a:r>
        </a:p>
        <a:p>
          <a:pPr algn="l" rtl="0">
            <a:defRPr sz="1000"/>
          </a:pPr>
          <a:endParaRPr lang="en-IN" sz="1100" b="0" i="0" u="none" strike="noStrike" baseline="0">
            <a:solidFill>
              <a:srgbClr val="000000"/>
            </a:solidFill>
            <a:latin typeface="Calibri"/>
            <a:ea typeface="Calibri"/>
            <a:cs typeface="Calibri"/>
          </a:endParaRPr>
        </a:p>
        <a:p>
          <a:pPr algn="l" rtl="0">
            <a:defRPr sz="1000"/>
          </a:pPr>
          <a:r>
            <a:rPr lang="en-IN" sz="1100" b="0" i="0" u="none" strike="noStrike" baseline="0">
              <a:solidFill>
                <a:srgbClr val="000000"/>
              </a:solidFill>
              <a:latin typeface="Calibri"/>
              <a:ea typeface="Calibri"/>
              <a:cs typeface="Calibri"/>
            </a:rPr>
            <a:t>Include a “Return Rate” or “Customer Feedback” metric if data allows.</a:t>
          </a:r>
        </a:p>
        <a:p>
          <a:pPr algn="l" rtl="0">
            <a:defRPr sz="1000"/>
          </a:pPr>
          <a:endParaRPr lang="en-IN" sz="1100" b="0" i="0" u="none" strike="noStrike" baseline="0">
            <a:solidFill>
              <a:srgbClr val="000000"/>
            </a:solidFill>
            <a:latin typeface="Calibri"/>
            <a:ea typeface="Calibri"/>
            <a:cs typeface="Calibri"/>
          </a:endParaRPr>
        </a:p>
        <a:p>
          <a:pPr algn="l" rtl="0">
            <a:defRPr sz="1000"/>
          </a:pPr>
          <a:r>
            <a:rPr lang="en-IN" sz="1100" b="0" i="0" u="none" strike="noStrike" baseline="0">
              <a:solidFill>
                <a:srgbClr val="000000"/>
              </a:solidFill>
              <a:latin typeface="Calibri"/>
              <a:ea typeface="Calibri"/>
              <a:cs typeface="Calibri"/>
            </a:rPr>
            <a:t>Add dynamic titles (using cell references) so charts update names automatically with slicer filters.</a:t>
          </a:r>
        </a:p>
      </xdr:txBody>
    </xdr:sp>
    <xdr:clientData/>
  </xdr:twoCellAnchor>
  <xdr:twoCellAnchor>
    <xdr:from>
      <xdr:col>0</xdr:col>
      <xdr:colOff>143435</xdr:colOff>
      <xdr:row>0</xdr:row>
      <xdr:rowOff>80683</xdr:rowOff>
    </xdr:from>
    <xdr:to>
      <xdr:col>8</xdr:col>
      <xdr:colOff>197223</xdr:colOff>
      <xdr:row>2</xdr:row>
      <xdr:rowOff>89648</xdr:rowOff>
    </xdr:to>
    <xdr:sp macro="" textlink="">
      <xdr:nvSpPr>
        <xdr:cNvPr id="4" name="Rectangle 3">
          <a:extLst>
            <a:ext uri="{FF2B5EF4-FFF2-40B4-BE49-F238E27FC236}">
              <a16:creationId xmlns:a16="http://schemas.microsoft.com/office/drawing/2014/main" id="{90089622-609E-83A8-B566-7C8B4EDCC77B}"/>
            </a:ext>
          </a:extLst>
        </xdr:cNvPr>
        <xdr:cNvSpPr/>
      </xdr:nvSpPr>
      <xdr:spPr>
        <a:xfrm>
          <a:off x="143435" y="80683"/>
          <a:ext cx="4930588" cy="36755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a:t>Insights</a:t>
          </a:r>
        </a:p>
      </xdr:txBody>
    </xdr:sp>
    <xdr:clientData/>
  </xdr:twoCellAnchor>
  <xdr:twoCellAnchor>
    <xdr:from>
      <xdr:col>8</xdr:col>
      <xdr:colOff>555811</xdr:colOff>
      <xdr:row>0</xdr:row>
      <xdr:rowOff>71719</xdr:rowOff>
    </xdr:from>
    <xdr:to>
      <xdr:col>16</xdr:col>
      <xdr:colOff>609599</xdr:colOff>
      <xdr:row>2</xdr:row>
      <xdr:rowOff>80684</xdr:rowOff>
    </xdr:to>
    <xdr:sp macro="" textlink="">
      <xdr:nvSpPr>
        <xdr:cNvPr id="5" name="Rectangle 4">
          <a:extLst>
            <a:ext uri="{FF2B5EF4-FFF2-40B4-BE49-F238E27FC236}">
              <a16:creationId xmlns:a16="http://schemas.microsoft.com/office/drawing/2014/main" id="{53A70274-34CA-409E-98CA-75903CBEF3DC}"/>
            </a:ext>
          </a:extLst>
        </xdr:cNvPr>
        <xdr:cNvSpPr/>
      </xdr:nvSpPr>
      <xdr:spPr>
        <a:xfrm>
          <a:off x="5432611" y="71719"/>
          <a:ext cx="4930588" cy="36755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a:t>Recommendations</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6</xdr:col>
      <xdr:colOff>62346</xdr:colOff>
      <xdr:row>0</xdr:row>
      <xdr:rowOff>41564</xdr:rowOff>
    </xdr:from>
    <xdr:to>
      <xdr:col>19</xdr:col>
      <xdr:colOff>235528</xdr:colOff>
      <xdr:row>24</xdr:row>
      <xdr:rowOff>41564</xdr:rowOff>
    </xdr:to>
    <xdr:graphicFrame macro="">
      <xdr:nvGraphicFramePr>
        <xdr:cNvPr id="2" name="Chart 1">
          <a:extLst>
            <a:ext uri="{FF2B5EF4-FFF2-40B4-BE49-F238E27FC236}">
              <a16:creationId xmlns:a16="http://schemas.microsoft.com/office/drawing/2014/main" id="{B4C41CE3-F2E4-C6B1-8A85-6819395089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477288</xdr:colOff>
      <xdr:row>28</xdr:row>
      <xdr:rowOff>41564</xdr:rowOff>
    </xdr:from>
    <xdr:to>
      <xdr:col>15</xdr:col>
      <xdr:colOff>304801</xdr:colOff>
      <xdr:row>42</xdr:row>
      <xdr:rowOff>166255</xdr:rowOff>
    </xdr:to>
    <mc:AlternateContent xmlns:mc="http://schemas.openxmlformats.org/markup-compatibility/2006" xmlns:a14="http://schemas.microsoft.com/office/drawing/2010/main">
      <mc:Choice Requires="a14">
        <xdr:graphicFrame macro="">
          <xdr:nvGraphicFramePr>
            <xdr:cNvPr id="3" name="PRODUCT ID">
              <a:extLst>
                <a:ext uri="{FF2B5EF4-FFF2-40B4-BE49-F238E27FC236}">
                  <a16:creationId xmlns:a16="http://schemas.microsoft.com/office/drawing/2014/main" id="{0A5A5F3A-D12F-F564-B60B-C0942306CB0F}"/>
                </a:ext>
              </a:extLst>
            </xdr:cNvPr>
            <xdr:cNvGraphicFramePr/>
          </xdr:nvGraphicFramePr>
          <xdr:xfrm>
            <a:off x="0" y="0"/>
            <a:ext cx="0" cy="0"/>
          </xdr:xfrm>
          <a:graphic>
            <a:graphicData uri="http://schemas.microsoft.com/office/drawing/2010/slicer">
              <sle:slicer xmlns:sle="http://schemas.microsoft.com/office/drawing/2010/slicer" name="PRODUCT ID"/>
            </a:graphicData>
          </a:graphic>
        </xdr:graphicFrame>
      </mc:Choice>
      <mc:Fallback xmlns="">
        <xdr:sp macro="" textlink="">
          <xdr:nvSpPr>
            <xdr:cNvPr id="0" name=""/>
            <xdr:cNvSpPr>
              <a:spLocks noTextEdit="1"/>
            </xdr:cNvSpPr>
          </xdr:nvSpPr>
          <xdr:spPr>
            <a:xfrm>
              <a:off x="9787543" y="5084619"/>
              <a:ext cx="2265913" cy="26462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126076</xdr:colOff>
      <xdr:row>28</xdr:row>
      <xdr:rowOff>151707</xdr:rowOff>
    </xdr:from>
    <xdr:to>
      <xdr:col>11</xdr:col>
      <xdr:colOff>126076</xdr:colOff>
      <xdr:row>42</xdr:row>
      <xdr:rowOff>97155</xdr:rowOff>
    </xdr:to>
    <mc:AlternateContent xmlns:mc="http://schemas.openxmlformats.org/markup-compatibility/2006" xmlns:a14="http://schemas.microsoft.com/office/drawing/2010/main">
      <mc:Choice Requires="a14">
        <xdr:graphicFrame macro="">
          <xdr:nvGraphicFramePr>
            <xdr:cNvPr id="4" name="SALE TYPE 2">
              <a:extLst>
                <a:ext uri="{FF2B5EF4-FFF2-40B4-BE49-F238E27FC236}">
                  <a16:creationId xmlns:a16="http://schemas.microsoft.com/office/drawing/2014/main" id="{76B3D64B-7AF7-2C90-9ECD-F88D900DE0A7}"/>
                </a:ext>
              </a:extLst>
            </xdr:cNvPr>
            <xdr:cNvGraphicFramePr/>
          </xdr:nvGraphicFramePr>
          <xdr:xfrm>
            <a:off x="0" y="0"/>
            <a:ext cx="0" cy="0"/>
          </xdr:xfrm>
          <a:graphic>
            <a:graphicData uri="http://schemas.microsoft.com/office/drawing/2010/slicer">
              <sle:slicer xmlns:sle="http://schemas.microsoft.com/office/drawing/2010/slicer" name="SALE TYPE 2"/>
            </a:graphicData>
          </a:graphic>
        </xdr:graphicFrame>
      </mc:Choice>
      <mc:Fallback xmlns="">
        <xdr:sp macro="" textlink="">
          <xdr:nvSpPr>
            <xdr:cNvPr id="0" name=""/>
            <xdr:cNvSpPr>
              <a:spLocks noTextEdit="1"/>
            </xdr:cNvSpPr>
          </xdr:nvSpPr>
          <xdr:spPr>
            <a:xfrm>
              <a:off x="7607531" y="5194762"/>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65809</xdr:colOff>
      <xdr:row>28</xdr:row>
      <xdr:rowOff>77584</xdr:rowOff>
    </xdr:from>
    <xdr:to>
      <xdr:col>21</xdr:col>
      <xdr:colOff>65809</xdr:colOff>
      <xdr:row>42</xdr:row>
      <xdr:rowOff>23032</xdr:rowOff>
    </xdr:to>
    <mc:AlternateContent xmlns:mc="http://schemas.openxmlformats.org/markup-compatibility/2006" xmlns:a14="http://schemas.microsoft.com/office/drawing/2010/main">
      <mc:Choice Requires="a14">
        <xdr:graphicFrame macro="">
          <xdr:nvGraphicFramePr>
            <xdr:cNvPr id="5" name="Year 2">
              <a:extLst>
                <a:ext uri="{FF2B5EF4-FFF2-40B4-BE49-F238E27FC236}">
                  <a16:creationId xmlns:a16="http://schemas.microsoft.com/office/drawing/2014/main" id="{B747A716-4E8E-76E6-4612-06F47CD8DE1F}"/>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13643264" y="5120639"/>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190500</xdr:colOff>
      <xdr:row>0</xdr:row>
      <xdr:rowOff>125730</xdr:rowOff>
    </xdr:from>
    <xdr:to>
      <xdr:col>9</xdr:col>
      <xdr:colOff>495300</xdr:colOff>
      <xdr:row>15</xdr:row>
      <xdr:rowOff>125730</xdr:rowOff>
    </xdr:to>
    <xdr:graphicFrame macro="">
      <xdr:nvGraphicFramePr>
        <xdr:cNvPr id="3" name="Chart 2">
          <a:extLst>
            <a:ext uri="{FF2B5EF4-FFF2-40B4-BE49-F238E27FC236}">
              <a16:creationId xmlns:a16="http://schemas.microsoft.com/office/drawing/2014/main" id="{6BBE53BF-E080-BFFE-B98C-1BF3D9B74E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167640</xdr:colOff>
      <xdr:row>1</xdr:row>
      <xdr:rowOff>179070</xdr:rowOff>
    </xdr:from>
    <xdr:to>
      <xdr:col>9</xdr:col>
      <xdr:colOff>472440</xdr:colOff>
      <xdr:row>16</xdr:row>
      <xdr:rowOff>179070</xdr:rowOff>
    </xdr:to>
    <xdr:graphicFrame macro="">
      <xdr:nvGraphicFramePr>
        <xdr:cNvPr id="2" name="Chart 1">
          <a:extLst>
            <a:ext uri="{FF2B5EF4-FFF2-40B4-BE49-F238E27FC236}">
              <a16:creationId xmlns:a16="http://schemas.microsoft.com/office/drawing/2014/main" id="{844FA4C5-A922-389F-5B05-EFE999B5F3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160020</xdr:colOff>
      <xdr:row>2</xdr:row>
      <xdr:rowOff>76200</xdr:rowOff>
    </xdr:from>
    <xdr:to>
      <xdr:col>13</xdr:col>
      <xdr:colOff>160020</xdr:colOff>
      <xdr:row>15</xdr:row>
      <xdr:rowOff>165735</xdr:rowOff>
    </xdr:to>
    <mc:AlternateContent xmlns:mc="http://schemas.openxmlformats.org/markup-compatibility/2006" xmlns:a14="http://schemas.microsoft.com/office/drawing/2010/main">
      <mc:Choice Requires="a14">
        <xdr:graphicFrame macro="">
          <xdr:nvGraphicFramePr>
            <xdr:cNvPr id="3" name="SALE TYPE 4">
              <a:extLst>
                <a:ext uri="{FF2B5EF4-FFF2-40B4-BE49-F238E27FC236}">
                  <a16:creationId xmlns:a16="http://schemas.microsoft.com/office/drawing/2014/main" id="{88D759F4-B410-9955-69D4-319B100F51DA}"/>
                </a:ext>
              </a:extLst>
            </xdr:cNvPr>
            <xdr:cNvGraphicFramePr/>
          </xdr:nvGraphicFramePr>
          <xdr:xfrm>
            <a:off x="0" y="0"/>
            <a:ext cx="0" cy="0"/>
          </xdr:xfrm>
          <a:graphic>
            <a:graphicData uri="http://schemas.microsoft.com/office/drawing/2010/slicer">
              <sle:slicer xmlns:sle="http://schemas.microsoft.com/office/drawing/2010/slicer" name="SALE TYPE 4"/>
            </a:graphicData>
          </a:graphic>
        </xdr:graphicFrame>
      </mc:Choice>
      <mc:Fallback xmlns="">
        <xdr:sp macro="" textlink="">
          <xdr:nvSpPr>
            <xdr:cNvPr id="0" name=""/>
            <xdr:cNvSpPr>
              <a:spLocks noTextEdit="1"/>
            </xdr:cNvSpPr>
          </xdr:nvSpPr>
          <xdr:spPr>
            <a:xfrm>
              <a:off x="7018020" y="4419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2</xdr:col>
      <xdr:colOff>655320</xdr:colOff>
      <xdr:row>5</xdr:row>
      <xdr:rowOff>148590</xdr:rowOff>
    </xdr:from>
    <xdr:to>
      <xdr:col>16</xdr:col>
      <xdr:colOff>426720</xdr:colOff>
      <xdr:row>20</xdr:row>
      <xdr:rowOff>148590</xdr:rowOff>
    </xdr:to>
    <xdr:graphicFrame macro="">
      <xdr:nvGraphicFramePr>
        <xdr:cNvPr id="2" name="Chart 1">
          <a:extLst>
            <a:ext uri="{FF2B5EF4-FFF2-40B4-BE49-F238E27FC236}">
              <a16:creationId xmlns:a16="http://schemas.microsoft.com/office/drawing/2014/main" id="{2B7EF543-6B9C-5B46-3C4B-976B44EBA5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MasterData"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alysis"/>
      <sheetName val="Dashboard"/>
      <sheetName val="Input Data"/>
      <sheetName val="Master Data"/>
      <sheetName val="MasterData"/>
    </sheetNames>
    <sheetDataSet>
      <sheetData sheetId="0"/>
      <sheetData sheetId="1"/>
      <sheetData sheetId="2"/>
      <sheetData sheetId="3">
        <row r="2">
          <cell r="B2" t="str">
            <v>Product01</v>
          </cell>
          <cell r="E2">
            <v>98</v>
          </cell>
          <cell r="F2">
            <v>103.88</v>
          </cell>
        </row>
        <row r="3">
          <cell r="B3" t="str">
            <v>Product02</v>
          </cell>
          <cell r="E3">
            <v>105</v>
          </cell>
          <cell r="F3">
            <v>142.80000000000001</v>
          </cell>
        </row>
        <row r="4">
          <cell r="B4" t="str">
            <v>Product03</v>
          </cell>
          <cell r="E4">
            <v>71</v>
          </cell>
          <cell r="F4">
            <v>80.94</v>
          </cell>
        </row>
        <row r="5">
          <cell r="B5" t="str">
            <v>Product04</v>
          </cell>
          <cell r="E5">
            <v>44</v>
          </cell>
          <cell r="F5">
            <v>48.84</v>
          </cell>
        </row>
        <row r="6">
          <cell r="B6" t="str">
            <v>Product05</v>
          </cell>
          <cell r="E6">
            <v>133</v>
          </cell>
          <cell r="F6">
            <v>155.61000000000001</v>
          </cell>
        </row>
        <row r="7">
          <cell r="B7" t="str">
            <v>Product06</v>
          </cell>
          <cell r="E7">
            <v>75</v>
          </cell>
          <cell r="F7">
            <v>85.5</v>
          </cell>
        </row>
        <row r="8">
          <cell r="B8" t="str">
            <v>Product07</v>
          </cell>
          <cell r="E8">
            <v>43</v>
          </cell>
          <cell r="F8">
            <v>47.730000000000004</v>
          </cell>
        </row>
        <row r="9">
          <cell r="B9" t="str">
            <v>Product08</v>
          </cell>
          <cell r="E9">
            <v>83</v>
          </cell>
          <cell r="F9">
            <v>94.62</v>
          </cell>
        </row>
        <row r="10">
          <cell r="B10" t="str">
            <v>Product09</v>
          </cell>
          <cell r="E10">
            <v>6</v>
          </cell>
          <cell r="F10">
            <v>7.8599999999999994</v>
          </cell>
        </row>
        <row r="11">
          <cell r="B11" t="str">
            <v>Product10</v>
          </cell>
          <cell r="E11">
            <v>148</v>
          </cell>
          <cell r="F11">
            <v>164.28</v>
          </cell>
        </row>
        <row r="12">
          <cell r="B12" t="str">
            <v>Product11</v>
          </cell>
          <cell r="E12">
            <v>44</v>
          </cell>
          <cell r="F12">
            <v>48.4</v>
          </cell>
        </row>
        <row r="13">
          <cell r="B13" t="str">
            <v>Product12</v>
          </cell>
          <cell r="E13">
            <v>73</v>
          </cell>
          <cell r="F13">
            <v>94.17</v>
          </cell>
        </row>
        <row r="14">
          <cell r="B14" t="str">
            <v>Product13</v>
          </cell>
          <cell r="E14">
            <v>112</v>
          </cell>
          <cell r="F14">
            <v>122.08</v>
          </cell>
        </row>
        <row r="15">
          <cell r="B15" t="str">
            <v>Product14</v>
          </cell>
          <cell r="E15">
            <v>112</v>
          </cell>
          <cell r="F15">
            <v>146.72</v>
          </cell>
        </row>
        <row r="16">
          <cell r="B16" t="str">
            <v>Product15</v>
          </cell>
          <cell r="E16">
            <v>12</v>
          </cell>
          <cell r="F16">
            <v>15.719999999999999</v>
          </cell>
        </row>
        <row r="17">
          <cell r="B17" t="str">
            <v>Product16</v>
          </cell>
          <cell r="E17">
            <v>13</v>
          </cell>
          <cell r="F17">
            <v>16.64</v>
          </cell>
        </row>
        <row r="18">
          <cell r="B18" t="str">
            <v>Product17</v>
          </cell>
          <cell r="E18">
            <v>134</v>
          </cell>
          <cell r="F18">
            <v>156.78</v>
          </cell>
        </row>
        <row r="19">
          <cell r="B19" t="str">
            <v>Product18</v>
          </cell>
          <cell r="E19">
            <v>37</v>
          </cell>
          <cell r="F19">
            <v>49.21</v>
          </cell>
        </row>
        <row r="20">
          <cell r="B20" t="str">
            <v>Product19</v>
          </cell>
          <cell r="E20">
            <v>150</v>
          </cell>
          <cell r="F20">
            <v>210</v>
          </cell>
        </row>
        <row r="21">
          <cell r="B21" t="str">
            <v>Product20</v>
          </cell>
          <cell r="E21">
            <v>61</v>
          </cell>
          <cell r="F21">
            <v>76.25</v>
          </cell>
        </row>
        <row r="22">
          <cell r="B22" t="str">
            <v>Product21</v>
          </cell>
          <cell r="E22">
            <v>126</v>
          </cell>
          <cell r="F22">
            <v>162.54</v>
          </cell>
        </row>
        <row r="23">
          <cell r="B23" t="str">
            <v>Product22</v>
          </cell>
          <cell r="E23">
            <v>121</v>
          </cell>
          <cell r="F23">
            <v>141.57</v>
          </cell>
        </row>
        <row r="24">
          <cell r="B24" t="str">
            <v>Product23</v>
          </cell>
          <cell r="E24">
            <v>141</v>
          </cell>
          <cell r="F24">
            <v>149.46</v>
          </cell>
        </row>
        <row r="25">
          <cell r="B25" t="str">
            <v>Product24</v>
          </cell>
          <cell r="E25">
            <v>144</v>
          </cell>
          <cell r="F25">
            <v>156.96</v>
          </cell>
        </row>
        <row r="26">
          <cell r="B26" t="str">
            <v>Product25</v>
          </cell>
          <cell r="E26">
            <v>7</v>
          </cell>
          <cell r="F26">
            <v>8.33</v>
          </cell>
        </row>
        <row r="27">
          <cell r="B27" t="str">
            <v>Product26</v>
          </cell>
          <cell r="E27">
            <v>18</v>
          </cell>
          <cell r="F27">
            <v>24.66</v>
          </cell>
        </row>
        <row r="28">
          <cell r="B28" t="str">
            <v>Product27</v>
          </cell>
          <cell r="E28">
            <v>48</v>
          </cell>
          <cell r="F28">
            <v>57.120000000000005</v>
          </cell>
        </row>
        <row r="29">
          <cell r="B29" t="str">
            <v>Product28</v>
          </cell>
          <cell r="E29">
            <v>37</v>
          </cell>
          <cell r="F29">
            <v>41.81</v>
          </cell>
        </row>
        <row r="30">
          <cell r="B30" t="str">
            <v>Product29</v>
          </cell>
          <cell r="E30">
            <v>47</v>
          </cell>
          <cell r="F30">
            <v>53.11</v>
          </cell>
        </row>
        <row r="31">
          <cell r="B31" t="str">
            <v>Product30</v>
          </cell>
          <cell r="E31">
            <v>148</v>
          </cell>
          <cell r="F31">
            <v>201.28</v>
          </cell>
        </row>
        <row r="32">
          <cell r="B32" t="str">
            <v>Product31</v>
          </cell>
          <cell r="E32">
            <v>93</v>
          </cell>
          <cell r="F32">
            <v>104.16</v>
          </cell>
        </row>
        <row r="33">
          <cell r="B33" t="str">
            <v>Product32</v>
          </cell>
          <cell r="E33">
            <v>89</v>
          </cell>
          <cell r="F33">
            <v>117.48</v>
          </cell>
        </row>
        <row r="34">
          <cell r="B34" t="str">
            <v>Product33</v>
          </cell>
          <cell r="E34">
            <v>95</v>
          </cell>
          <cell r="F34">
            <v>119.7</v>
          </cell>
        </row>
        <row r="35">
          <cell r="B35" t="str">
            <v>Product34</v>
          </cell>
          <cell r="E35">
            <v>55</v>
          </cell>
          <cell r="F35">
            <v>58.3</v>
          </cell>
        </row>
        <row r="36">
          <cell r="B36" t="str">
            <v>Product35</v>
          </cell>
          <cell r="E36">
            <v>5</v>
          </cell>
          <cell r="F36">
            <v>6.7</v>
          </cell>
        </row>
        <row r="37">
          <cell r="B37" t="str">
            <v>Product36</v>
          </cell>
          <cell r="E37">
            <v>90</v>
          </cell>
          <cell r="F37">
            <v>96.3</v>
          </cell>
        </row>
        <row r="38">
          <cell r="B38" t="str">
            <v>Product37</v>
          </cell>
          <cell r="E38">
            <v>67</v>
          </cell>
          <cell r="F38">
            <v>85.76</v>
          </cell>
        </row>
        <row r="39">
          <cell r="B39" t="str">
            <v>Product38</v>
          </cell>
          <cell r="E39">
            <v>72</v>
          </cell>
          <cell r="F39">
            <v>79.92</v>
          </cell>
        </row>
        <row r="40">
          <cell r="B40" t="str">
            <v>Product39</v>
          </cell>
          <cell r="E40">
            <v>37</v>
          </cell>
          <cell r="F40">
            <v>42.55</v>
          </cell>
        </row>
        <row r="41">
          <cell r="B41" t="str">
            <v>Product40</v>
          </cell>
          <cell r="E41">
            <v>90</v>
          </cell>
          <cell r="F41">
            <v>115.2</v>
          </cell>
        </row>
        <row r="42">
          <cell r="B42" t="str">
            <v>Product41</v>
          </cell>
          <cell r="E42">
            <v>138</v>
          </cell>
          <cell r="F42">
            <v>173.88</v>
          </cell>
        </row>
        <row r="43">
          <cell r="B43" t="str">
            <v>Product42</v>
          </cell>
          <cell r="E43">
            <v>120</v>
          </cell>
          <cell r="F43">
            <v>162</v>
          </cell>
        </row>
        <row r="44">
          <cell r="B44" t="str">
            <v>Product43</v>
          </cell>
          <cell r="E44">
            <v>67</v>
          </cell>
          <cell r="F44">
            <v>83.08</v>
          </cell>
        </row>
        <row r="45">
          <cell r="B45" t="str">
            <v>Product44</v>
          </cell>
          <cell r="E45">
            <v>76</v>
          </cell>
          <cell r="F45">
            <v>82.08</v>
          </cell>
        </row>
        <row r="46">
          <cell r="B46" t="str">
            <v>Product45</v>
          </cell>
          <cell r="E46">
            <v>50</v>
          </cell>
          <cell r="F46">
            <v>62</v>
          </cell>
        </row>
      </sheetData>
      <sheetData sheetId="4"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964.959229629632" createdVersion="8" refreshedVersion="8" minRefreshableVersion="3" recordCount="527" xr:uid="{21E91276-2AF1-4401-9D82-F6460D8B362C}">
  <cacheSource type="worksheet">
    <worksheetSource name="InputData"/>
  </cacheSource>
  <cacheFields count="19">
    <cacheField name="DATE" numFmtId="14">
      <sharedItems containsSemiMixedTypes="0" containsNonDate="0" containsDate="1" containsString="0" minDate="2021-01-01T00:00:00" maxDate="2023-01-01T00:00:00" count="374">
        <d v="2021-01-01T00:00:00"/>
        <d v="2021-01-02T00:00:00"/>
        <d v="2021-01-03T00:00:00"/>
        <d v="2021-01-04T00:00:00"/>
        <d v="2021-01-09T00:00:00"/>
        <d v="2021-01-11T00:00:00"/>
        <d v="2021-01-12T00:00:00"/>
        <d v="2021-01-18T00:00:00"/>
        <d v="2021-01-19T00:00:00"/>
        <d v="2021-01-20T00:00:00"/>
        <d v="2021-01-21T00:00:00"/>
        <d v="2021-01-25T00:00:00"/>
        <d v="2021-01-26T00:00:00"/>
        <d v="2021-01-27T00:00:00"/>
        <d v="2021-01-28T00:00:00"/>
        <d v="2021-02-02T00:00:00"/>
        <d v="2021-02-03T00:00:00"/>
        <d v="2021-02-04T00:00:00"/>
        <d v="2021-02-05T00:00:00"/>
        <d v="2021-02-06T00:00:00"/>
        <d v="2021-02-09T00:00:00"/>
        <d v="2021-02-12T00:00:00"/>
        <d v="2021-02-15T00:00:00"/>
        <d v="2021-02-18T00:00:00"/>
        <d v="2021-02-20T00:00:00"/>
        <d v="2021-02-22T00:00:00"/>
        <d v="2021-02-23T00:00:00"/>
        <d v="2021-02-25T00:00:00"/>
        <d v="2021-02-27T00:00:00"/>
        <d v="2021-03-03T00:00:00"/>
        <d v="2021-03-07T00:00:00"/>
        <d v="2021-03-08T00:00:00"/>
        <d v="2021-03-09T00:00:00"/>
        <d v="2021-03-11T00:00:00"/>
        <d v="2021-03-13T00:00:00"/>
        <d v="2021-03-15T00:00:00"/>
        <d v="2021-03-16T00:00:00"/>
        <d v="2021-03-18T00:00:00"/>
        <d v="2021-03-19T00:00:00"/>
        <d v="2021-03-21T00:00:00"/>
        <d v="2021-03-22T00:00:00"/>
        <d v="2021-03-25T00:00:00"/>
        <d v="2021-03-26T00:00:00"/>
        <d v="2021-03-27T00:00:00"/>
        <d v="2021-03-28T00:00:00"/>
        <d v="2021-03-30T00:00:00"/>
        <d v="2021-03-31T00:00:00"/>
        <d v="2021-04-04T00:00:00"/>
        <d v="2021-04-05T00:00:00"/>
        <d v="2021-04-09T00:00:00"/>
        <d v="2021-04-10T00:00:00"/>
        <d v="2021-04-12T00:00:00"/>
        <d v="2021-04-15T00:00:00"/>
        <d v="2021-04-16T00:00:00"/>
        <d v="2021-04-18T00:00:00"/>
        <d v="2021-04-23T00:00:00"/>
        <d v="2021-04-24T00:00:00"/>
        <d v="2021-04-26T00:00:00"/>
        <d v="2021-04-29T00:00:00"/>
        <d v="2021-04-30T00:00:00"/>
        <d v="2021-05-01T00:00:00"/>
        <d v="2021-05-03T00:00:00"/>
        <d v="2021-05-04T00:00:00"/>
        <d v="2021-05-05T00:00:00"/>
        <d v="2021-05-06T00:00:00"/>
        <d v="2021-05-07T00:00:00"/>
        <d v="2021-05-09T00:00:00"/>
        <d v="2021-05-12T00:00:00"/>
        <d v="2021-05-13T00:00:00"/>
        <d v="2021-05-20T00:00:00"/>
        <d v="2021-05-23T00:00:00"/>
        <d v="2021-05-30T00:00:00"/>
        <d v="2021-06-03T00:00:00"/>
        <d v="2021-06-04T00:00:00"/>
        <d v="2021-06-05T00:00:00"/>
        <d v="2021-06-06T00:00:00"/>
        <d v="2021-06-08T00:00:00"/>
        <d v="2021-06-09T00:00:00"/>
        <d v="2021-06-11T00:00:00"/>
        <d v="2021-06-12T00:00:00"/>
        <d v="2021-06-14T00:00:00"/>
        <d v="2021-06-16T00:00:00"/>
        <d v="2021-06-18T00:00:00"/>
        <d v="2021-06-19T00:00:00"/>
        <d v="2021-06-20T00:00:00"/>
        <d v="2021-06-23T00:00:00"/>
        <d v="2021-06-24T00:00:00"/>
        <d v="2021-06-26T00:00:00"/>
        <d v="2021-06-27T00:00:00"/>
        <d v="2021-06-28T00:00:00"/>
        <d v="2021-06-29T00:00:00"/>
        <d v="2021-07-01T00:00:00"/>
        <d v="2021-07-02T00:00:00"/>
        <d v="2021-07-03T00:00:00"/>
        <d v="2021-07-05T00:00:00"/>
        <d v="2021-07-06T00:00:00"/>
        <d v="2021-07-08T00:00:00"/>
        <d v="2021-07-10T00:00:00"/>
        <d v="2021-07-11T00:00:00"/>
        <d v="2021-07-13T00:00:00"/>
        <d v="2021-07-16T00:00:00"/>
        <d v="2021-07-18T00:00:00"/>
        <d v="2021-07-20T00:00:00"/>
        <d v="2021-07-21T00:00:00"/>
        <d v="2021-07-22T00:00:00"/>
        <d v="2021-07-23T00:00:00"/>
        <d v="2021-07-24T00:00:00"/>
        <d v="2021-07-29T00:00:00"/>
        <d v="2021-08-01T00:00:00"/>
        <d v="2021-08-02T00:00:00"/>
        <d v="2021-08-03T00:00:00"/>
        <d v="2021-08-05T00:00:00"/>
        <d v="2021-08-06T00:00:00"/>
        <d v="2021-08-10T00:00:00"/>
        <d v="2021-08-11T00:00:00"/>
        <d v="2021-08-13T00:00:00"/>
        <d v="2021-08-16T00:00:00"/>
        <d v="2021-08-18T00:00:00"/>
        <d v="2021-08-20T00:00:00"/>
        <d v="2021-08-26T00:00:00"/>
        <d v="2021-08-29T00:00:00"/>
        <d v="2021-08-30T00:00:00"/>
        <d v="2021-08-31T00:00:00"/>
        <d v="2021-09-01T00:00:00"/>
        <d v="2021-09-03T00:00:00"/>
        <d v="2021-09-04T00:00:00"/>
        <d v="2021-09-05T00:00:00"/>
        <d v="2021-09-07T00:00:00"/>
        <d v="2021-09-09T00:00:00"/>
        <d v="2021-09-10T00:00:00"/>
        <d v="2021-09-11T00:00:00"/>
        <d v="2021-09-13T00:00:00"/>
        <d v="2021-09-15T00:00:00"/>
        <d v="2021-09-21T00:00:00"/>
        <d v="2021-09-22T00:00:00"/>
        <d v="2021-09-23T00:00:00"/>
        <d v="2021-09-27T00:00:00"/>
        <d v="2021-09-30T00:00:00"/>
        <d v="2021-10-01T00:00:00"/>
        <d v="2021-10-02T00:00:00"/>
        <d v="2021-10-03T00:00:00"/>
        <d v="2021-10-06T00:00:00"/>
        <d v="2021-10-07T00:00:00"/>
        <d v="2021-10-09T00:00:00"/>
        <d v="2021-10-10T00:00:00"/>
        <d v="2021-10-11T00:00:00"/>
        <d v="2021-10-12T00:00:00"/>
        <d v="2021-10-17T00:00:00"/>
        <d v="2021-10-18T00:00:00"/>
        <d v="2021-10-22T00:00:00"/>
        <d v="2021-10-24T00:00:00"/>
        <d v="2021-10-25T00:00:00"/>
        <d v="2021-10-26T00:00:00"/>
        <d v="2021-10-28T00:00:00"/>
        <d v="2021-10-29T00:00:00"/>
        <d v="2021-10-31T00:00:00"/>
        <d v="2021-11-03T00:00:00"/>
        <d v="2021-11-06T00:00:00"/>
        <d v="2021-11-08T00:00:00"/>
        <d v="2021-11-10T00:00:00"/>
        <d v="2021-11-11T00:00:00"/>
        <d v="2021-11-12T00:00:00"/>
        <d v="2021-11-20T00:00:00"/>
        <d v="2021-11-21T00:00:00"/>
        <d v="2021-11-27T00:00:00"/>
        <d v="2021-11-28T00:00:00"/>
        <d v="2021-11-30T00:00:00"/>
        <d v="2021-12-02T00:00:00"/>
        <d v="2021-12-03T00:00:00"/>
        <d v="2021-12-05T00:00:00"/>
        <d v="2021-12-07T00:00:00"/>
        <d v="2021-12-08T00:00:00"/>
        <d v="2021-12-14T00:00:00"/>
        <d v="2021-12-18T00:00:00"/>
        <d v="2021-12-19T00:00:00"/>
        <d v="2021-12-20T00:00:00"/>
        <d v="2021-12-21T00:00:00"/>
        <d v="2021-12-24T00:00:00"/>
        <d v="2021-12-26T00:00:00"/>
        <d v="2021-12-27T00:00:00"/>
        <d v="2021-12-28T00:00:00"/>
        <d v="2021-12-30T00:00:00"/>
        <d v="2022-01-01T00:00:00"/>
        <d v="2022-01-02T00:00:00"/>
        <d v="2022-01-03T00:00:00"/>
        <d v="2022-01-04T00:00:00"/>
        <d v="2022-01-09T00:00:00"/>
        <d v="2022-01-10T00:00:00"/>
        <d v="2022-01-11T00:00:00"/>
        <d v="2022-01-13T00:00:00"/>
        <d v="2022-01-14T00:00:00"/>
        <d v="2022-01-15T00:00:00"/>
        <d v="2022-01-16T00:00:00"/>
        <d v="2022-01-17T00:00:00"/>
        <d v="2022-01-18T00:00:00"/>
        <d v="2022-01-20T00:00:00"/>
        <d v="2022-01-22T00:00:00"/>
        <d v="2022-01-23T00:00:00"/>
        <d v="2022-01-24T00:00:00"/>
        <d v="2022-01-25T00:00:00"/>
        <d v="2022-01-28T00:00:00"/>
        <d v="2022-01-31T00:00:00"/>
        <d v="2022-02-01T00:00:00"/>
        <d v="2022-02-03T00:00:00"/>
        <d v="2022-02-05T00:00:00"/>
        <d v="2022-02-06T00:00:00"/>
        <d v="2022-02-08T00:00:00"/>
        <d v="2022-02-09T00:00:00"/>
        <d v="2022-02-12T00:00:00"/>
        <d v="2022-02-14T00:00:00"/>
        <d v="2022-02-16T00:00:00"/>
        <d v="2022-02-19T00:00:00"/>
        <d v="2022-02-20T00:00:00"/>
        <d v="2022-02-23T00:00:00"/>
        <d v="2022-02-27T00:00:00"/>
        <d v="2022-02-28T00:00:00"/>
        <d v="2022-03-04T00:00:00"/>
        <d v="2022-03-06T00:00:00"/>
        <d v="2022-03-07T00:00:00"/>
        <d v="2022-03-08T00:00:00"/>
        <d v="2022-03-09T00:00:00"/>
        <d v="2022-03-10T00:00:00"/>
        <d v="2022-03-14T00:00:00"/>
        <d v="2022-03-18T00:00:00"/>
        <d v="2022-03-19T00:00:00"/>
        <d v="2022-03-23T00:00:00"/>
        <d v="2022-03-25T00:00:00"/>
        <d v="2022-03-29T00:00:00"/>
        <d v="2022-03-30T00:00:00"/>
        <d v="2022-04-01T00:00:00"/>
        <d v="2022-04-02T00:00:00"/>
        <d v="2022-04-06T00:00:00"/>
        <d v="2022-04-07T00:00:00"/>
        <d v="2022-04-09T00:00:00"/>
        <d v="2022-04-13T00:00:00"/>
        <d v="2022-04-18T00:00:00"/>
        <d v="2022-04-20T00:00:00"/>
        <d v="2022-04-21T00:00:00"/>
        <d v="2022-04-23T00:00:00"/>
        <d v="2022-04-24T00:00:00"/>
        <d v="2022-04-25T00:00:00"/>
        <d v="2022-04-26T00:00:00"/>
        <d v="2022-04-28T00:00:00"/>
        <d v="2022-04-30T00:00:00"/>
        <d v="2022-05-01T00:00:00"/>
        <d v="2022-05-02T00:00:00"/>
        <d v="2022-05-04T00:00:00"/>
        <d v="2022-05-06T00:00:00"/>
        <d v="2022-05-07T00:00:00"/>
        <d v="2022-05-08T00:00:00"/>
        <d v="2022-05-09T00:00:00"/>
        <d v="2022-05-10T00:00:00"/>
        <d v="2022-05-12T00:00:00"/>
        <d v="2022-05-13T00:00:00"/>
        <d v="2022-05-14T00:00:00"/>
        <d v="2022-05-15T00:00:00"/>
        <d v="2022-05-16T00:00:00"/>
        <d v="2022-05-17T00:00:00"/>
        <d v="2022-05-18T00:00:00"/>
        <d v="2022-05-20T00:00:00"/>
        <d v="2022-05-22T00:00:00"/>
        <d v="2022-05-25T00:00:00"/>
        <d v="2022-05-26T00:00:00"/>
        <d v="2022-05-28T00:00:00"/>
        <d v="2022-05-30T00:00:00"/>
        <d v="2022-06-03T00:00:00"/>
        <d v="2022-06-10T00:00:00"/>
        <d v="2022-06-11T00:00:00"/>
        <d v="2022-06-13T00:00:00"/>
        <d v="2022-06-15T00:00:00"/>
        <d v="2022-06-16T00:00:00"/>
        <d v="2022-06-19T00:00:00"/>
        <d v="2022-06-21T00:00:00"/>
        <d v="2022-06-22T00:00:00"/>
        <d v="2022-06-23T00:00:00"/>
        <d v="2022-06-24T00:00:00"/>
        <d v="2022-06-25T00:00:00"/>
        <d v="2022-06-26T00:00:00"/>
        <d v="2022-07-03T00:00:00"/>
        <d v="2022-07-04T00:00:00"/>
        <d v="2022-07-05T00:00:00"/>
        <d v="2022-07-06T00:00:00"/>
        <d v="2022-07-08T00:00:00"/>
        <d v="2022-07-10T00:00:00"/>
        <d v="2022-07-12T00:00:00"/>
        <d v="2022-07-13T00:00:00"/>
        <d v="2022-07-14T00:00:00"/>
        <d v="2022-07-15T00:00:00"/>
        <d v="2022-07-17T00:00:00"/>
        <d v="2022-07-18T00:00:00"/>
        <d v="2022-07-20T00:00:00"/>
        <d v="2022-07-22T00:00:00"/>
        <d v="2022-07-23T00:00:00"/>
        <d v="2022-07-24T00:00:00"/>
        <d v="2022-07-25T00:00:00"/>
        <d v="2022-07-26T00:00:00"/>
        <d v="2022-08-03T00:00:00"/>
        <d v="2022-08-06T00:00:00"/>
        <d v="2022-08-08T00:00:00"/>
        <d v="2022-08-14T00:00:00"/>
        <d v="2022-08-15T00:00:00"/>
        <d v="2022-08-18T00:00:00"/>
        <d v="2022-08-19T00:00:00"/>
        <d v="2022-08-20T00:00:00"/>
        <d v="2022-08-21T00:00:00"/>
        <d v="2022-08-23T00:00:00"/>
        <d v="2022-08-24T00:00:00"/>
        <d v="2022-08-26T00:00:00"/>
        <d v="2022-08-27T00:00:00"/>
        <d v="2022-08-28T00:00:00"/>
        <d v="2022-08-30T00:00:00"/>
        <d v="2022-08-31T00:00:00"/>
        <d v="2022-09-04T00:00:00"/>
        <d v="2022-09-06T00:00:00"/>
        <d v="2022-09-09T00:00:00"/>
        <d v="2022-09-10T00:00:00"/>
        <d v="2022-09-14T00:00:00"/>
        <d v="2022-09-15T00:00:00"/>
        <d v="2022-09-18T00:00:00"/>
        <d v="2022-09-19T00:00:00"/>
        <d v="2022-09-20T00:00:00"/>
        <d v="2022-09-21T00:00:00"/>
        <d v="2022-09-22T00:00:00"/>
        <d v="2022-09-23T00:00:00"/>
        <d v="2022-09-24T00:00:00"/>
        <d v="2022-09-27T00:00:00"/>
        <d v="2022-09-29T00:00:00"/>
        <d v="2022-10-03T00:00:00"/>
        <d v="2022-10-04T00:00:00"/>
        <d v="2022-10-06T00:00:00"/>
        <d v="2022-10-09T00:00:00"/>
        <d v="2022-10-10T00:00:00"/>
        <d v="2022-10-11T00:00:00"/>
        <d v="2022-10-13T00:00:00"/>
        <d v="2022-10-14T00:00:00"/>
        <d v="2022-10-15T00:00:00"/>
        <d v="2022-10-16T00:00:00"/>
        <d v="2022-10-23T00:00:00"/>
        <d v="2022-10-30T00:00:00"/>
        <d v="2022-10-31T00:00:00"/>
        <d v="2022-11-01T00:00:00"/>
        <d v="2022-11-02T00:00:00"/>
        <d v="2022-11-03T00:00:00"/>
        <d v="2022-11-04T00:00:00"/>
        <d v="2022-11-05T00:00:00"/>
        <d v="2022-11-06T00:00:00"/>
        <d v="2022-11-07T00:00:00"/>
        <d v="2022-11-08T00:00:00"/>
        <d v="2022-11-09T00:00:00"/>
        <d v="2022-11-10T00:00:00"/>
        <d v="2022-11-13T00:00:00"/>
        <d v="2022-11-14T00:00:00"/>
        <d v="2022-11-15T00:00:00"/>
        <d v="2022-11-16T00:00:00"/>
        <d v="2022-11-18T00:00:00"/>
        <d v="2022-11-21T00:00:00"/>
        <d v="2022-11-23T00:00:00"/>
        <d v="2022-11-25T00:00:00"/>
        <d v="2022-11-26T00:00:00"/>
        <d v="2022-11-27T00:00:00"/>
        <d v="2022-11-28T00:00:00"/>
        <d v="2022-11-30T00:00:00"/>
        <d v="2022-12-03T00:00:00"/>
        <d v="2022-12-04T00:00:00"/>
        <d v="2022-12-07T00:00:00"/>
        <d v="2022-12-11T00:00:00"/>
        <d v="2022-12-12T00:00:00"/>
        <d v="2022-12-14T00:00:00"/>
        <d v="2022-12-15T00:00:00"/>
        <d v="2022-12-19T00:00:00"/>
        <d v="2022-12-21T00:00:00"/>
        <d v="2022-12-29T00:00:00"/>
        <d v="2022-12-30T00:00:00"/>
        <d v="2022-12-31T00:00:00"/>
      </sharedItems>
      <fieldGroup par="18"/>
    </cacheField>
    <cacheField name="PRODUCT ID" numFmtId="0">
      <sharedItems count="44">
        <s v="P0024"/>
        <s v="P0038"/>
        <s v="P0013"/>
        <s v="P0004"/>
        <s v="P0035"/>
        <s v="P0031"/>
        <s v="P0003"/>
        <s v="P0025"/>
        <s v="P0037"/>
        <s v="P0014"/>
        <s v="P0042"/>
        <s v="P0044"/>
        <s v="P0023"/>
        <s v="P0034"/>
        <s v="P0020"/>
        <s v="P0006"/>
        <s v="P0001"/>
        <s v="P0040"/>
        <s v="P0032"/>
        <s v="P0029"/>
        <s v="P0010"/>
        <s v="P0016"/>
        <s v="P0022"/>
        <s v="P0043"/>
        <s v="P0005"/>
        <s v="P0008"/>
        <s v="P0027"/>
        <s v="P0015"/>
        <s v="P0030"/>
        <s v="P0002"/>
        <s v="P0018"/>
        <s v="P0011"/>
        <s v="P0021"/>
        <s v="P0028"/>
        <s v="P0039"/>
        <s v="P0012"/>
        <s v="P0007"/>
        <s v="P0009"/>
        <s v="P0033"/>
        <s v="P0017"/>
        <s v="P0019"/>
        <s v="P0041"/>
        <s v="P0026"/>
        <s v="P0036"/>
      </sharedItems>
    </cacheField>
    <cacheField name="QUANTITY" numFmtId="0">
      <sharedItems containsSemiMixedTypes="0" containsString="0" containsNumber="1" containsInteger="1" minValue="1" maxValue="15" count="15">
        <n v="9"/>
        <n v="15"/>
        <n v="6"/>
        <n v="5"/>
        <n v="12"/>
        <n v="1"/>
        <n v="8"/>
        <n v="4"/>
        <n v="3"/>
        <n v="10"/>
        <n v="13"/>
        <n v="7"/>
        <n v="14"/>
        <n v="2"/>
        <n v="11"/>
      </sharedItems>
    </cacheField>
    <cacheField name="SALE TYPE" numFmtId="0">
      <sharedItems count="3">
        <s v="Wholesaler"/>
        <s v="Online"/>
        <s v="Direct Sales"/>
      </sharedItems>
    </cacheField>
    <cacheField name="PAYMENT MODE" numFmtId="0">
      <sharedItems count="2">
        <s v="Online"/>
        <s v="Cash"/>
      </sharedItems>
    </cacheField>
    <cacheField name="DISCOUNT %" numFmtId="164">
      <sharedItems containsSemiMixedTypes="0" containsString="0" containsNumber="1" containsInteger="1" minValue="0" maxValue="0"/>
    </cacheField>
    <cacheField name="PRODUCT" numFmtId="0">
      <sharedItems count="44">
        <s v="Product24"/>
        <s v="Product38"/>
        <s v="Product13"/>
        <s v="Product04"/>
        <s v="Product35"/>
        <s v="Product31"/>
        <s v="Product03"/>
        <s v="Product25"/>
        <s v="Product37"/>
        <s v="Product14"/>
        <s v="Product42"/>
        <s v="Product44"/>
        <s v="Product23"/>
        <s v="Product34"/>
        <s v="Product20"/>
        <s v="Product06"/>
        <s v="Product01"/>
        <s v="Product40"/>
        <s v="Product32"/>
        <s v="Product29"/>
        <s v="Product10"/>
        <s v="Product16"/>
        <s v="Product22"/>
        <s v="Product43"/>
        <s v="Product05"/>
        <s v="Product08"/>
        <s v="Product27"/>
        <s v="Product15"/>
        <s v="Product30"/>
        <s v="Product02"/>
        <s v="Product18"/>
        <s v="Product11"/>
        <s v="Product21"/>
        <s v="Product28"/>
        <s v="Product39"/>
        <s v="Product12"/>
        <s v="Product07"/>
        <s v="Product09"/>
        <s v="Product33"/>
        <s v="Product17"/>
        <s v="Product19"/>
        <s v="Product41"/>
        <s v="Product26"/>
        <s v="Product36"/>
      </sharedItems>
    </cacheField>
    <cacheField name="CATEGORY" numFmtId="0">
      <sharedItems/>
    </cacheField>
    <cacheField name="UOM" numFmtId="0">
      <sharedItems/>
    </cacheField>
    <cacheField name="BUYING PRIZE" numFmtId="165">
      <sharedItems containsSemiMixedTypes="0" containsString="0" containsNumber="1" containsInteger="1" minValue="5" maxValue="150"/>
    </cacheField>
    <cacheField name="SELLING PRICE" numFmtId="165">
      <sharedItems containsSemiMixedTypes="0" containsString="0" containsNumber="1" containsInteger="1" minValue="5" maxValue="150"/>
    </cacheField>
    <cacheField name="Total Buying Value" numFmtId="165">
      <sharedItems containsSemiMixedTypes="0" containsString="0" containsNumber="1" containsInteger="1" minValue="5" maxValue="2250" count="289">
        <n v="1296"/>
        <n v="1080"/>
        <n v="672"/>
        <n v="220"/>
        <n v="60"/>
        <n v="93"/>
        <n v="568"/>
        <n v="28"/>
        <n v="201"/>
        <n v="448"/>
        <n v="480"/>
        <n v="1200"/>
        <n v="988"/>
        <n v="423"/>
        <n v="30"/>
        <n v="244"/>
        <n v="660"/>
        <n v="639"/>
        <n v="720"/>
        <n v="330"/>
        <n v="35"/>
        <n v="1302"/>
        <n v="684"/>
        <n v="525"/>
        <n v="686"/>
        <n v="630"/>
        <n v="267"/>
        <n v="440"/>
        <n v="94"/>
        <n v="1036"/>
        <n v="169"/>
        <n v="242"/>
        <n v="268"/>
        <n v="469"/>
        <n v="133"/>
        <n v="603"/>
        <n v="5"/>
        <n v="770"/>
        <n v="581"/>
        <n v="1269"/>
        <n v="192"/>
        <n v="72"/>
        <n v="1628"/>
        <n v="560"/>
        <n v="21"/>
        <n v="266"/>
        <n v="420"/>
        <n v="979"/>
        <n v="296"/>
        <n v="407"/>
        <n v="44"/>
        <n v="1134"/>
        <n v="288"/>
        <n v="282"/>
        <n v="77"/>
        <n v="370"/>
        <n v="1022"/>
        <n v="960"/>
        <n v="333"/>
        <n v="793"/>
        <n v="259"/>
        <n v="840"/>
        <n v="292"/>
        <n v="2016"/>
        <n v="300"/>
        <n v="376"/>
        <n v="144"/>
        <n v="392"/>
        <n v="120"/>
        <n v="1332"/>
        <n v="444"/>
        <n v="344"/>
        <n v="360"/>
        <n v="54"/>
        <n v="1395"/>
        <n v="399"/>
        <n v="1694"/>
        <n v="188"/>
        <n v="432"/>
        <n v="1235"/>
        <n v="402"/>
        <n v="555"/>
        <n v="648"/>
        <n v="1950"/>
        <n v="47"/>
        <n v="111"/>
        <n v="165"/>
        <n v="156"/>
        <n v="78"/>
        <n v="1245"/>
        <n v="36"/>
        <n v="37"/>
        <n v="39"/>
        <n v="75"/>
        <n v="240"/>
        <n v="990"/>
        <n v="1833"/>
        <n v="1260"/>
        <n v="488"/>
        <n v="732"/>
        <n v="1815"/>
        <n v="50"/>
        <n v="570"/>
        <n v="484"/>
        <n v="1068"/>
        <n v="828"/>
        <n v="70"/>
        <n v="750"/>
        <n v="91"/>
        <n v="690"/>
        <n v="13"/>
        <n v="52"/>
        <n v="572"/>
        <n v="42"/>
        <n v="1463"/>
        <n v="252"/>
        <n v="855"/>
        <n v="2070"/>
        <n v="24"/>
        <n v="150"/>
        <n v="1128"/>
        <n v="792"/>
        <n v="335"/>
        <n v="705"/>
        <n v="536"/>
        <n v="1140"/>
        <n v="1078"/>
        <n v="1573"/>
        <n v="518"/>
        <n v="67"/>
        <n v="532"/>
        <n v="760"/>
        <n v="450"/>
        <n v="564"/>
        <n v="213"/>
        <n v="915"/>
        <n v="837"/>
        <n v="481"/>
        <n v="148"/>
        <n v="1456"/>
        <n v="196"/>
        <n v="55"/>
        <n v="994"/>
        <n v="1104"/>
        <n v="2115"/>
        <n v="89"/>
        <n v="304"/>
        <n v="888"/>
        <n v="882"/>
        <n v="588"/>
        <n v="966"/>
        <n v="1680"/>
        <n v="427"/>
        <n v="180"/>
        <n v="1008"/>
        <n v="375"/>
        <n v="2072"/>
        <n v="1350"/>
        <n v="108"/>
        <n v="384"/>
        <n v="1274"/>
        <n v="1638"/>
        <n v="308"/>
        <n v="1872"/>
        <n v="6"/>
        <n v="132"/>
        <n v="264"/>
        <n v="83"/>
        <n v="756"/>
        <n v="1344"/>
        <n v="900"/>
        <n v="645"/>
        <n v="913"/>
        <n v="112"/>
        <n v="584"/>
        <n v="130"/>
        <n v="110"/>
        <n v="896"/>
        <n v="1064"/>
        <n v="142"/>
        <n v="968"/>
        <n v="1692"/>
        <n v="141"/>
        <n v="1932"/>
        <n v="658"/>
        <n v="1924"/>
        <n v="121"/>
        <n v="95"/>
        <n v="178"/>
        <n v="616"/>
        <n v="1210"/>
        <n v="1232"/>
        <n v="747"/>
        <n v="784"/>
        <n v="2220"/>
        <n v="1876"/>
        <n v="143"/>
        <n v="846"/>
        <n v="1242"/>
        <n v="1197"/>
        <n v="222"/>
        <n v="1246"/>
        <n v="1365"/>
        <n v="438"/>
        <n v="195"/>
        <n v="511"/>
        <n v="1995"/>
        <n v="1005"/>
        <n v="234"/>
        <n v="88"/>
        <n v="71"/>
        <n v="456"/>
        <n v="26"/>
        <n v="801"/>
        <n v="210"/>
        <n v="315"/>
        <n v="126"/>
        <n v="945"/>
        <n v="182"/>
        <n v="74"/>
        <n v="396"/>
        <n v="96"/>
        <n v="1568"/>
        <n v="495"/>
        <n v="610"/>
        <n v="385"/>
        <n v="48"/>
        <n v="847"/>
        <n v="1608"/>
        <n v="365"/>
        <n v="1162"/>
        <n v="305"/>
        <n v="1209"/>
        <n v="576"/>
        <n v="735"/>
        <n v="1380"/>
        <n v="415"/>
        <n v="528"/>
        <n v="854"/>
        <n v="285"/>
        <n v="1800"/>
        <n v="352"/>
        <n v="804"/>
        <n v="1425"/>
        <n v="301"/>
        <n v="49"/>
        <n v="276"/>
        <n v="1776"/>
        <n v="1050"/>
        <n v="152"/>
        <n v="923"/>
        <n v="710"/>
        <n v="18"/>
        <n v="117"/>
        <n v="1386"/>
        <n v="84"/>
        <n v="129"/>
        <n v="1330"/>
        <n v="836"/>
        <n v="665"/>
        <n v="185"/>
        <n v="105"/>
        <n v="1596"/>
        <n v="980"/>
        <n v="90"/>
        <n v="876"/>
        <n v="712"/>
        <n v="216"/>
        <n v="715"/>
        <n v="912"/>
        <n v="830"/>
        <n v="1575"/>
        <n v="270"/>
        <n v="1095"/>
        <n v="25"/>
        <n v="671"/>
        <n v="2250"/>
        <n v="871"/>
        <n v="1560"/>
        <n v="1170"/>
        <n v="1500"/>
        <n v="1072"/>
        <n v="366"/>
        <n v="445"/>
        <n v="825"/>
        <n v="744"/>
        <n v="864"/>
        <n v="1120"/>
        <n v="66"/>
      </sharedItems>
    </cacheField>
    <cacheField name="Total Selling Value" numFmtId="165">
      <sharedItems containsSemiMixedTypes="0" containsString="0" containsNumber="1" containsInteger="1" minValue="5" maxValue="2250"/>
    </cacheField>
    <cacheField name="Day" numFmtId="0">
      <sharedItems containsSemiMixedTypes="0" containsString="0" containsNumber="1" containsInteger="1" minValue="1" maxValue="31"/>
    </cacheField>
    <cacheField name="Month" numFmtId="0">
      <sharedItems/>
    </cacheField>
    <cacheField name="Year" numFmtId="0">
      <sharedItems containsSemiMixedTypes="0" containsString="0" containsNumber="1" containsInteger="1" minValue="2021" maxValue="2022" count="2">
        <n v="2021"/>
        <n v="2022"/>
      </sharedItems>
    </cacheField>
    <cacheField name="Months (DATE)" numFmtId="0" databaseField="0">
      <fieldGroup base="0">
        <rangePr groupBy="months" startDate="2021-01-01T00:00:00" endDate="2023-01-01T00:00:00"/>
        <groupItems count="14">
          <s v="&lt;01-01-2021"/>
          <s v="Jan"/>
          <s v="Feb"/>
          <s v="Mar"/>
          <s v="Apr"/>
          <s v="May"/>
          <s v="Jun"/>
          <s v="Jul"/>
          <s v="Aug"/>
          <s v="Sep"/>
          <s v="Oct"/>
          <s v="Nov"/>
          <s v="Dec"/>
          <s v="&gt;01-01-2023"/>
        </groupItems>
      </fieldGroup>
    </cacheField>
    <cacheField name="Quarters (DATE)" numFmtId="0" databaseField="0">
      <fieldGroup base="0">
        <rangePr groupBy="quarters" startDate="2021-01-01T00:00:00" endDate="2023-01-01T00:00:00"/>
        <groupItems count="6">
          <s v="&lt;01-01-2021"/>
          <s v="Qtr1"/>
          <s v="Qtr2"/>
          <s v="Qtr3"/>
          <s v="Qtr4"/>
          <s v="&gt;01-01-2023"/>
        </groupItems>
      </fieldGroup>
    </cacheField>
    <cacheField name="Years (DATE)" numFmtId="0" databaseField="0">
      <fieldGroup base="0">
        <rangePr groupBy="years" startDate="2021-01-01T00:00:00" endDate="2023-01-01T00:00:00"/>
        <groupItems count="5">
          <s v="&lt;01-01-2021"/>
          <s v="2021"/>
          <s v="2022"/>
          <s v="2023"/>
          <s v="&gt;01-01-2023"/>
        </groupItems>
      </fieldGroup>
    </cacheField>
  </cacheFields>
  <extLst>
    <ext xmlns:x14="http://schemas.microsoft.com/office/spreadsheetml/2009/9/main" uri="{725AE2AE-9491-48be-B2B4-4EB974FC3084}">
      <x14:pivotCacheDefinition pivotCacheId="20870038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964.959230092594" createdVersion="8" refreshedVersion="8" minRefreshableVersion="3" recordCount="529" xr:uid="{C9C5215E-9B3A-4172-B66E-80B14D388068}">
  <cacheSource type="worksheet">
    <worksheetSource ref="A1:P1048576" sheet="Input Data"/>
  </cacheSource>
  <cacheFields count="16">
    <cacheField name="DATE" numFmtId="0">
      <sharedItems containsNonDate="0" containsDate="1" containsString="0" containsBlank="1" minDate="2021-01-01T00:00:00" maxDate="2023-01-01T00:00:00"/>
    </cacheField>
    <cacheField name="PRODUCT ID" numFmtId="0">
      <sharedItems containsBlank="1"/>
    </cacheField>
    <cacheField name="QUANTITY" numFmtId="0">
      <sharedItems containsString="0" containsBlank="1" containsNumber="1" containsInteger="1" minValue="1" maxValue="15"/>
    </cacheField>
    <cacheField name="SALE TYPE" numFmtId="0">
      <sharedItems containsBlank="1" count="4">
        <s v="Wholesaler"/>
        <s v="Online"/>
        <s v="Direct Sales"/>
        <m/>
      </sharedItems>
    </cacheField>
    <cacheField name="PAYMENT MODE" numFmtId="0">
      <sharedItems containsBlank="1" count="3">
        <s v="Online"/>
        <s v="Cash"/>
        <m/>
      </sharedItems>
    </cacheField>
    <cacheField name="DISCOUNT %" numFmtId="0">
      <sharedItems containsString="0" containsBlank="1" containsNumber="1" containsInteger="1" minValue="0" maxValue="0"/>
    </cacheField>
    <cacheField name="PRODUCT" numFmtId="0">
      <sharedItems containsBlank="1" count="45">
        <s v="Product24"/>
        <s v="Product38"/>
        <s v="Product13"/>
        <s v="Product04"/>
        <s v="Product35"/>
        <s v="Product31"/>
        <s v="Product03"/>
        <s v="Product25"/>
        <s v="Product37"/>
        <s v="Product14"/>
        <s v="Product42"/>
        <s v="Product44"/>
        <s v="Product23"/>
        <s v="Product34"/>
        <s v="Product20"/>
        <s v="Product06"/>
        <s v="Product01"/>
        <s v="Product40"/>
        <s v="Product32"/>
        <s v="Product29"/>
        <s v="Product10"/>
        <s v="Product16"/>
        <s v="Product22"/>
        <s v="Product43"/>
        <s v="Product05"/>
        <s v="Product08"/>
        <s v="Product27"/>
        <s v="Product15"/>
        <s v="Product30"/>
        <s v="Product02"/>
        <s v="Product18"/>
        <s v="Product11"/>
        <s v="Product21"/>
        <s v="Product28"/>
        <s v="Product39"/>
        <s v="Product12"/>
        <s v="Product07"/>
        <s v="Product09"/>
        <s v="Product33"/>
        <s v="Product17"/>
        <s v="Product19"/>
        <s v="Product41"/>
        <s v="Product26"/>
        <s v="Product36"/>
        <m/>
      </sharedItems>
    </cacheField>
    <cacheField name="CATEGORY" numFmtId="0">
      <sharedItems containsBlank="1" count="6">
        <s v="Category03"/>
        <s v="Category05"/>
        <s v="Category02"/>
        <s v="Category01"/>
        <s v="Category04"/>
        <m/>
      </sharedItems>
    </cacheField>
    <cacheField name="UOM" numFmtId="0">
      <sharedItems containsBlank="1" count="5">
        <s v="Ft"/>
        <s v="Kg"/>
        <s v="Lt"/>
        <s v="No."/>
        <m/>
      </sharedItems>
    </cacheField>
    <cacheField name="BUYING PRIZE" numFmtId="0">
      <sharedItems containsString="0" containsBlank="1" containsNumber="1" containsInteger="1" minValue="5" maxValue="150"/>
    </cacheField>
    <cacheField name="SELLING PRICE" numFmtId="0">
      <sharedItems containsString="0" containsBlank="1" containsNumber="1" containsInteger="1" minValue="5" maxValue="150"/>
    </cacheField>
    <cacheField name="Total Buying Value" numFmtId="0">
      <sharedItems containsString="0" containsBlank="1" containsNumber="1" containsInteger="1" minValue="5" maxValue="2250"/>
    </cacheField>
    <cacheField name="Total Selling Value" numFmtId="0">
      <sharedItems containsString="0" containsBlank="1" containsNumber="1" containsInteger="1" minValue="5" maxValue="2250"/>
    </cacheField>
    <cacheField name="Day" numFmtId="0">
      <sharedItems containsString="0" containsBlank="1" containsNumber="1" containsInteger="1" minValue="1" maxValue="31" count="32">
        <n v="1"/>
        <n v="2"/>
        <n v="3"/>
        <n v="4"/>
        <n v="9"/>
        <n v="11"/>
        <n v="12"/>
        <n v="18"/>
        <n v="19"/>
        <n v="20"/>
        <n v="21"/>
        <n v="25"/>
        <n v="26"/>
        <n v="27"/>
        <n v="28"/>
        <n v="5"/>
        <n v="6"/>
        <n v="15"/>
        <n v="22"/>
        <n v="23"/>
        <n v="7"/>
        <n v="8"/>
        <n v="13"/>
        <n v="16"/>
        <n v="30"/>
        <n v="31"/>
        <n v="10"/>
        <n v="24"/>
        <n v="29"/>
        <n v="14"/>
        <n v="17"/>
        <m/>
      </sharedItems>
    </cacheField>
    <cacheField name="Month" numFmtId="0">
      <sharedItems containsBlank="1" count="13">
        <s v="Jan"/>
        <s v="Feb"/>
        <s v="Mar"/>
        <s v="Apr"/>
        <s v="May"/>
        <s v="Jun"/>
        <s v="Jul"/>
        <s v="Aug"/>
        <s v="Sep"/>
        <s v="Oct"/>
        <s v="Nov"/>
        <s v="Dec"/>
        <m/>
      </sharedItems>
    </cacheField>
    <cacheField name="Year" numFmtId="0">
      <sharedItems containsString="0" containsBlank="1" containsNumber="1" containsInteger="1" minValue="2021" maxValue="2022" count="3">
        <n v="2021"/>
        <n v="2022"/>
        <m/>
      </sharedItems>
    </cacheField>
  </cacheFields>
  <extLst>
    <ext xmlns:x14="http://schemas.microsoft.com/office/spreadsheetml/2009/9/main" uri="{725AE2AE-9491-48be-B2B4-4EB974FC3084}">
      <x14:pivotCacheDefinition pivotCacheId="4690026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7">
  <r>
    <x v="0"/>
    <x v="0"/>
    <x v="0"/>
    <x v="0"/>
    <x v="0"/>
    <n v="0"/>
    <x v="0"/>
    <s v="Category03"/>
    <s v="Ft"/>
    <n v="144"/>
    <n v="144"/>
    <x v="0"/>
    <n v="1296"/>
    <n v="1"/>
    <s v="Jan"/>
    <x v="0"/>
  </r>
  <r>
    <x v="1"/>
    <x v="1"/>
    <x v="1"/>
    <x v="1"/>
    <x v="1"/>
    <n v="0"/>
    <x v="1"/>
    <s v="Category05"/>
    <s v="Kg"/>
    <n v="72"/>
    <n v="72"/>
    <x v="1"/>
    <n v="1080"/>
    <n v="2"/>
    <s v="Jan"/>
    <x v="0"/>
  </r>
  <r>
    <x v="1"/>
    <x v="2"/>
    <x v="2"/>
    <x v="2"/>
    <x v="1"/>
    <n v="0"/>
    <x v="2"/>
    <s v="Category02"/>
    <s v="Kg"/>
    <n v="112"/>
    <n v="112"/>
    <x v="2"/>
    <n v="672"/>
    <n v="2"/>
    <s v="Jan"/>
    <x v="0"/>
  </r>
  <r>
    <x v="2"/>
    <x v="3"/>
    <x v="3"/>
    <x v="2"/>
    <x v="0"/>
    <n v="0"/>
    <x v="3"/>
    <s v="Category01"/>
    <s v="Lt"/>
    <n v="44"/>
    <n v="44"/>
    <x v="3"/>
    <n v="220"/>
    <n v="3"/>
    <s v="Jan"/>
    <x v="0"/>
  </r>
  <r>
    <x v="3"/>
    <x v="4"/>
    <x v="4"/>
    <x v="1"/>
    <x v="0"/>
    <n v="0"/>
    <x v="4"/>
    <s v="Category04"/>
    <s v="No."/>
    <n v="5"/>
    <n v="5"/>
    <x v="4"/>
    <n v="60"/>
    <n v="4"/>
    <s v="Jan"/>
    <x v="0"/>
  </r>
  <r>
    <x v="4"/>
    <x v="5"/>
    <x v="5"/>
    <x v="2"/>
    <x v="1"/>
    <n v="0"/>
    <x v="5"/>
    <s v="Category04"/>
    <s v="Kg"/>
    <n v="93"/>
    <n v="93"/>
    <x v="5"/>
    <n v="93"/>
    <n v="9"/>
    <s v="Jan"/>
    <x v="0"/>
  </r>
  <r>
    <x v="4"/>
    <x v="6"/>
    <x v="6"/>
    <x v="2"/>
    <x v="1"/>
    <n v="0"/>
    <x v="6"/>
    <s v="Category01"/>
    <s v="Kg"/>
    <n v="71"/>
    <n v="71"/>
    <x v="6"/>
    <n v="568"/>
    <n v="9"/>
    <s v="Jan"/>
    <x v="0"/>
  </r>
  <r>
    <x v="4"/>
    <x v="7"/>
    <x v="7"/>
    <x v="2"/>
    <x v="0"/>
    <n v="0"/>
    <x v="7"/>
    <s v="Category03"/>
    <s v="No."/>
    <n v="7"/>
    <n v="7"/>
    <x v="7"/>
    <n v="28"/>
    <n v="9"/>
    <s v="Jan"/>
    <x v="0"/>
  </r>
  <r>
    <x v="5"/>
    <x v="8"/>
    <x v="8"/>
    <x v="2"/>
    <x v="1"/>
    <n v="0"/>
    <x v="8"/>
    <s v="Category05"/>
    <s v="Kg"/>
    <n v="67"/>
    <n v="67"/>
    <x v="8"/>
    <n v="201"/>
    <n v="11"/>
    <s v="Jan"/>
    <x v="0"/>
  </r>
  <r>
    <x v="5"/>
    <x v="9"/>
    <x v="7"/>
    <x v="0"/>
    <x v="0"/>
    <n v="0"/>
    <x v="9"/>
    <s v="Category02"/>
    <s v="Kg"/>
    <n v="112"/>
    <n v="112"/>
    <x v="9"/>
    <n v="448"/>
    <n v="11"/>
    <s v="Jan"/>
    <x v="0"/>
  </r>
  <r>
    <x v="5"/>
    <x v="10"/>
    <x v="7"/>
    <x v="2"/>
    <x v="0"/>
    <n v="0"/>
    <x v="10"/>
    <s v="Category05"/>
    <s v="Ft"/>
    <n v="120"/>
    <n v="120"/>
    <x v="10"/>
    <n v="480"/>
    <n v="11"/>
    <s v="Jan"/>
    <x v="0"/>
  </r>
  <r>
    <x v="6"/>
    <x v="10"/>
    <x v="9"/>
    <x v="1"/>
    <x v="1"/>
    <n v="0"/>
    <x v="10"/>
    <s v="Category05"/>
    <s v="Ft"/>
    <n v="120"/>
    <n v="120"/>
    <x v="11"/>
    <n v="1200"/>
    <n v="12"/>
    <s v="Jan"/>
    <x v="0"/>
  </r>
  <r>
    <x v="7"/>
    <x v="11"/>
    <x v="10"/>
    <x v="2"/>
    <x v="0"/>
    <n v="0"/>
    <x v="11"/>
    <s v="Category05"/>
    <s v="Kg"/>
    <n v="76"/>
    <n v="76"/>
    <x v="12"/>
    <n v="988"/>
    <n v="18"/>
    <s v="Jan"/>
    <x v="0"/>
  </r>
  <r>
    <x v="7"/>
    <x v="12"/>
    <x v="8"/>
    <x v="1"/>
    <x v="1"/>
    <n v="0"/>
    <x v="12"/>
    <s v="Category03"/>
    <s v="Ft"/>
    <n v="141"/>
    <n v="141"/>
    <x v="13"/>
    <n v="423"/>
    <n v="18"/>
    <s v="Jan"/>
    <x v="0"/>
  </r>
  <r>
    <x v="8"/>
    <x v="4"/>
    <x v="2"/>
    <x v="2"/>
    <x v="1"/>
    <n v="0"/>
    <x v="4"/>
    <s v="Category04"/>
    <s v="No."/>
    <n v="5"/>
    <n v="5"/>
    <x v="14"/>
    <n v="30"/>
    <n v="19"/>
    <s v="Jan"/>
    <x v="0"/>
  </r>
  <r>
    <x v="9"/>
    <x v="13"/>
    <x v="7"/>
    <x v="2"/>
    <x v="1"/>
    <n v="0"/>
    <x v="13"/>
    <s v="Category04"/>
    <s v="Lt"/>
    <n v="55"/>
    <n v="55"/>
    <x v="3"/>
    <n v="220"/>
    <n v="20"/>
    <s v="Jan"/>
    <x v="0"/>
  </r>
  <r>
    <x v="9"/>
    <x v="14"/>
    <x v="7"/>
    <x v="2"/>
    <x v="1"/>
    <n v="0"/>
    <x v="14"/>
    <s v="Category03"/>
    <s v="Lt"/>
    <n v="61"/>
    <n v="61"/>
    <x v="15"/>
    <n v="244"/>
    <n v="20"/>
    <s v="Jan"/>
    <x v="0"/>
  </r>
  <r>
    <x v="10"/>
    <x v="3"/>
    <x v="1"/>
    <x v="0"/>
    <x v="1"/>
    <n v="0"/>
    <x v="3"/>
    <s v="Category01"/>
    <s v="Lt"/>
    <n v="44"/>
    <n v="44"/>
    <x v="16"/>
    <n v="660"/>
    <n v="21"/>
    <s v="Jan"/>
    <x v="0"/>
  </r>
  <r>
    <x v="10"/>
    <x v="6"/>
    <x v="0"/>
    <x v="2"/>
    <x v="0"/>
    <n v="0"/>
    <x v="6"/>
    <s v="Category01"/>
    <s v="Kg"/>
    <n v="71"/>
    <n v="71"/>
    <x v="17"/>
    <n v="639"/>
    <n v="21"/>
    <s v="Jan"/>
    <x v="0"/>
  </r>
  <r>
    <x v="10"/>
    <x v="10"/>
    <x v="2"/>
    <x v="2"/>
    <x v="0"/>
    <n v="0"/>
    <x v="10"/>
    <s v="Category05"/>
    <s v="Ft"/>
    <n v="120"/>
    <n v="120"/>
    <x v="18"/>
    <n v="720"/>
    <n v="21"/>
    <s v="Jan"/>
    <x v="0"/>
  </r>
  <r>
    <x v="11"/>
    <x v="13"/>
    <x v="2"/>
    <x v="2"/>
    <x v="1"/>
    <n v="0"/>
    <x v="13"/>
    <s v="Category04"/>
    <s v="Lt"/>
    <n v="55"/>
    <n v="55"/>
    <x v="19"/>
    <n v="330"/>
    <n v="25"/>
    <s v="Jan"/>
    <x v="0"/>
  </r>
  <r>
    <x v="11"/>
    <x v="4"/>
    <x v="11"/>
    <x v="2"/>
    <x v="0"/>
    <n v="0"/>
    <x v="4"/>
    <s v="Category04"/>
    <s v="No."/>
    <n v="5"/>
    <n v="5"/>
    <x v="20"/>
    <n v="35"/>
    <n v="25"/>
    <s v="Jan"/>
    <x v="0"/>
  </r>
  <r>
    <x v="11"/>
    <x v="5"/>
    <x v="12"/>
    <x v="2"/>
    <x v="0"/>
    <n v="0"/>
    <x v="5"/>
    <s v="Category04"/>
    <s v="Kg"/>
    <n v="93"/>
    <n v="93"/>
    <x v="21"/>
    <n v="1302"/>
    <n v="25"/>
    <s v="Jan"/>
    <x v="0"/>
  </r>
  <r>
    <x v="12"/>
    <x v="11"/>
    <x v="0"/>
    <x v="0"/>
    <x v="1"/>
    <n v="0"/>
    <x v="11"/>
    <s v="Category05"/>
    <s v="Kg"/>
    <n v="76"/>
    <n v="76"/>
    <x v="22"/>
    <n v="684"/>
    <n v="26"/>
    <s v="Jan"/>
    <x v="0"/>
  </r>
  <r>
    <x v="12"/>
    <x v="15"/>
    <x v="11"/>
    <x v="1"/>
    <x v="1"/>
    <n v="0"/>
    <x v="15"/>
    <s v="Category01"/>
    <s v="Kg"/>
    <n v="75"/>
    <n v="75"/>
    <x v="23"/>
    <n v="525"/>
    <n v="26"/>
    <s v="Jan"/>
    <x v="0"/>
  </r>
  <r>
    <x v="12"/>
    <x v="16"/>
    <x v="11"/>
    <x v="1"/>
    <x v="0"/>
    <n v="0"/>
    <x v="16"/>
    <s v="Category01"/>
    <s v="Kg"/>
    <n v="98"/>
    <n v="98"/>
    <x v="24"/>
    <n v="686"/>
    <n v="26"/>
    <s v="Jan"/>
    <x v="0"/>
  </r>
  <r>
    <x v="13"/>
    <x v="17"/>
    <x v="11"/>
    <x v="0"/>
    <x v="0"/>
    <n v="0"/>
    <x v="17"/>
    <s v="Category05"/>
    <s v="Kg"/>
    <n v="90"/>
    <n v="90"/>
    <x v="25"/>
    <n v="630"/>
    <n v="27"/>
    <s v="Jan"/>
    <x v="0"/>
  </r>
  <r>
    <x v="13"/>
    <x v="18"/>
    <x v="8"/>
    <x v="0"/>
    <x v="0"/>
    <n v="0"/>
    <x v="18"/>
    <s v="Category04"/>
    <s v="Kg"/>
    <n v="89"/>
    <n v="89"/>
    <x v="26"/>
    <n v="267"/>
    <n v="27"/>
    <s v="Jan"/>
    <x v="0"/>
  </r>
  <r>
    <x v="14"/>
    <x v="3"/>
    <x v="9"/>
    <x v="1"/>
    <x v="1"/>
    <n v="0"/>
    <x v="3"/>
    <s v="Category01"/>
    <s v="Lt"/>
    <n v="44"/>
    <n v="44"/>
    <x v="27"/>
    <n v="440"/>
    <n v="28"/>
    <s v="Jan"/>
    <x v="0"/>
  </r>
  <r>
    <x v="14"/>
    <x v="19"/>
    <x v="13"/>
    <x v="2"/>
    <x v="1"/>
    <n v="0"/>
    <x v="19"/>
    <s v="Category04"/>
    <s v="Lt"/>
    <n v="47"/>
    <n v="47"/>
    <x v="28"/>
    <n v="94"/>
    <n v="28"/>
    <s v="Jan"/>
    <x v="0"/>
  </r>
  <r>
    <x v="15"/>
    <x v="20"/>
    <x v="11"/>
    <x v="1"/>
    <x v="0"/>
    <n v="0"/>
    <x v="20"/>
    <s v="Category02"/>
    <s v="Ft"/>
    <n v="148"/>
    <n v="148"/>
    <x v="29"/>
    <n v="1036"/>
    <n v="2"/>
    <s v="Feb"/>
    <x v="0"/>
  </r>
  <r>
    <x v="16"/>
    <x v="21"/>
    <x v="10"/>
    <x v="2"/>
    <x v="0"/>
    <n v="0"/>
    <x v="21"/>
    <s v="Category02"/>
    <s v="No."/>
    <n v="13"/>
    <n v="13"/>
    <x v="30"/>
    <n v="169"/>
    <n v="3"/>
    <s v="Feb"/>
    <x v="0"/>
  </r>
  <r>
    <x v="16"/>
    <x v="22"/>
    <x v="13"/>
    <x v="0"/>
    <x v="1"/>
    <n v="0"/>
    <x v="22"/>
    <s v="Category03"/>
    <s v="Ft"/>
    <n v="121"/>
    <n v="121"/>
    <x v="31"/>
    <n v="242"/>
    <n v="3"/>
    <s v="Feb"/>
    <x v="0"/>
  </r>
  <r>
    <x v="17"/>
    <x v="8"/>
    <x v="7"/>
    <x v="1"/>
    <x v="0"/>
    <n v="0"/>
    <x v="8"/>
    <s v="Category05"/>
    <s v="Kg"/>
    <n v="67"/>
    <n v="67"/>
    <x v="32"/>
    <n v="268"/>
    <n v="4"/>
    <s v="Feb"/>
    <x v="0"/>
  </r>
  <r>
    <x v="18"/>
    <x v="23"/>
    <x v="11"/>
    <x v="1"/>
    <x v="1"/>
    <n v="0"/>
    <x v="23"/>
    <s v="Category05"/>
    <s v="Kg"/>
    <n v="67"/>
    <n v="67"/>
    <x v="33"/>
    <n v="469"/>
    <n v="5"/>
    <s v="Feb"/>
    <x v="0"/>
  </r>
  <r>
    <x v="18"/>
    <x v="24"/>
    <x v="5"/>
    <x v="2"/>
    <x v="1"/>
    <n v="0"/>
    <x v="24"/>
    <s v="Category01"/>
    <s v="Ft"/>
    <n v="133"/>
    <n v="133"/>
    <x v="34"/>
    <n v="133"/>
    <n v="5"/>
    <s v="Feb"/>
    <x v="0"/>
  </r>
  <r>
    <x v="18"/>
    <x v="23"/>
    <x v="0"/>
    <x v="2"/>
    <x v="1"/>
    <n v="0"/>
    <x v="23"/>
    <s v="Category05"/>
    <s v="Kg"/>
    <n v="67"/>
    <n v="67"/>
    <x v="35"/>
    <n v="603"/>
    <n v="5"/>
    <s v="Feb"/>
    <x v="0"/>
  </r>
  <r>
    <x v="19"/>
    <x v="4"/>
    <x v="5"/>
    <x v="2"/>
    <x v="1"/>
    <n v="0"/>
    <x v="4"/>
    <s v="Category04"/>
    <s v="No."/>
    <n v="5"/>
    <n v="5"/>
    <x v="36"/>
    <n v="5"/>
    <n v="6"/>
    <s v="Feb"/>
    <x v="0"/>
  </r>
  <r>
    <x v="20"/>
    <x v="13"/>
    <x v="12"/>
    <x v="2"/>
    <x v="0"/>
    <n v="0"/>
    <x v="13"/>
    <s v="Category04"/>
    <s v="Lt"/>
    <n v="55"/>
    <n v="55"/>
    <x v="37"/>
    <n v="770"/>
    <n v="9"/>
    <s v="Feb"/>
    <x v="0"/>
  </r>
  <r>
    <x v="21"/>
    <x v="25"/>
    <x v="11"/>
    <x v="2"/>
    <x v="1"/>
    <n v="0"/>
    <x v="25"/>
    <s v="Category01"/>
    <s v="Kg"/>
    <n v="83"/>
    <n v="83"/>
    <x v="38"/>
    <n v="581"/>
    <n v="12"/>
    <s v="Feb"/>
    <x v="0"/>
  </r>
  <r>
    <x v="21"/>
    <x v="12"/>
    <x v="0"/>
    <x v="1"/>
    <x v="1"/>
    <n v="0"/>
    <x v="12"/>
    <s v="Category03"/>
    <s v="Ft"/>
    <n v="141"/>
    <n v="141"/>
    <x v="39"/>
    <n v="1269"/>
    <n v="12"/>
    <s v="Feb"/>
    <x v="0"/>
  </r>
  <r>
    <x v="22"/>
    <x v="26"/>
    <x v="7"/>
    <x v="2"/>
    <x v="0"/>
    <n v="0"/>
    <x v="26"/>
    <s v="Category04"/>
    <s v="Lt"/>
    <n v="48"/>
    <n v="48"/>
    <x v="40"/>
    <n v="192"/>
    <n v="15"/>
    <s v="Feb"/>
    <x v="0"/>
  </r>
  <r>
    <x v="23"/>
    <x v="27"/>
    <x v="2"/>
    <x v="1"/>
    <x v="1"/>
    <n v="0"/>
    <x v="27"/>
    <s v="Category02"/>
    <s v="No."/>
    <n v="12"/>
    <n v="12"/>
    <x v="41"/>
    <n v="72"/>
    <n v="18"/>
    <s v="Feb"/>
    <x v="0"/>
  </r>
  <r>
    <x v="24"/>
    <x v="28"/>
    <x v="14"/>
    <x v="1"/>
    <x v="1"/>
    <n v="0"/>
    <x v="28"/>
    <s v="Category04"/>
    <s v="Ft"/>
    <n v="148"/>
    <n v="148"/>
    <x v="42"/>
    <n v="1628"/>
    <n v="20"/>
    <s v="Feb"/>
    <x v="0"/>
  </r>
  <r>
    <x v="25"/>
    <x v="2"/>
    <x v="3"/>
    <x v="1"/>
    <x v="1"/>
    <n v="0"/>
    <x v="2"/>
    <s v="Category02"/>
    <s v="Kg"/>
    <n v="112"/>
    <n v="112"/>
    <x v="43"/>
    <n v="560"/>
    <n v="22"/>
    <s v="Feb"/>
    <x v="0"/>
  </r>
  <r>
    <x v="26"/>
    <x v="7"/>
    <x v="8"/>
    <x v="2"/>
    <x v="1"/>
    <n v="0"/>
    <x v="7"/>
    <s v="Category03"/>
    <s v="No."/>
    <n v="7"/>
    <n v="7"/>
    <x v="44"/>
    <n v="21"/>
    <n v="23"/>
    <s v="Feb"/>
    <x v="0"/>
  </r>
  <r>
    <x v="26"/>
    <x v="24"/>
    <x v="13"/>
    <x v="2"/>
    <x v="0"/>
    <n v="0"/>
    <x v="24"/>
    <s v="Category01"/>
    <s v="Ft"/>
    <n v="133"/>
    <n v="133"/>
    <x v="45"/>
    <n v="266"/>
    <n v="23"/>
    <s v="Feb"/>
    <x v="0"/>
  </r>
  <r>
    <x v="27"/>
    <x v="29"/>
    <x v="7"/>
    <x v="0"/>
    <x v="0"/>
    <n v="0"/>
    <x v="29"/>
    <s v="Category01"/>
    <s v="Kg"/>
    <n v="105"/>
    <n v="105"/>
    <x v="46"/>
    <n v="420"/>
    <n v="25"/>
    <s v="Feb"/>
    <x v="0"/>
  </r>
  <r>
    <x v="27"/>
    <x v="18"/>
    <x v="14"/>
    <x v="1"/>
    <x v="1"/>
    <n v="0"/>
    <x v="18"/>
    <s v="Category04"/>
    <s v="Kg"/>
    <n v="89"/>
    <n v="89"/>
    <x v="47"/>
    <n v="979"/>
    <n v="25"/>
    <s v="Feb"/>
    <x v="0"/>
  </r>
  <r>
    <x v="27"/>
    <x v="28"/>
    <x v="13"/>
    <x v="2"/>
    <x v="0"/>
    <n v="0"/>
    <x v="28"/>
    <s v="Category04"/>
    <s v="Ft"/>
    <n v="148"/>
    <n v="148"/>
    <x v="48"/>
    <n v="296"/>
    <n v="25"/>
    <s v="Feb"/>
    <x v="0"/>
  </r>
  <r>
    <x v="28"/>
    <x v="30"/>
    <x v="14"/>
    <x v="0"/>
    <x v="0"/>
    <n v="0"/>
    <x v="30"/>
    <s v="Category02"/>
    <s v="No."/>
    <n v="37"/>
    <n v="37"/>
    <x v="49"/>
    <n v="407"/>
    <n v="27"/>
    <s v="Feb"/>
    <x v="0"/>
  </r>
  <r>
    <x v="29"/>
    <x v="31"/>
    <x v="5"/>
    <x v="2"/>
    <x v="0"/>
    <n v="0"/>
    <x v="31"/>
    <s v="Category02"/>
    <s v="Lt"/>
    <n v="44"/>
    <n v="44"/>
    <x v="50"/>
    <n v="44"/>
    <n v="3"/>
    <s v="Mar"/>
    <x v="0"/>
  </r>
  <r>
    <x v="30"/>
    <x v="32"/>
    <x v="0"/>
    <x v="2"/>
    <x v="1"/>
    <n v="0"/>
    <x v="32"/>
    <s v="Category03"/>
    <s v="Ft"/>
    <n v="126"/>
    <n v="126"/>
    <x v="51"/>
    <n v="1134"/>
    <n v="7"/>
    <s v="Mar"/>
    <x v="0"/>
  </r>
  <r>
    <x v="31"/>
    <x v="26"/>
    <x v="2"/>
    <x v="1"/>
    <x v="1"/>
    <n v="0"/>
    <x v="26"/>
    <s v="Category04"/>
    <s v="Lt"/>
    <n v="48"/>
    <n v="48"/>
    <x v="52"/>
    <n v="288"/>
    <n v="8"/>
    <s v="Mar"/>
    <x v="0"/>
  </r>
  <r>
    <x v="31"/>
    <x v="11"/>
    <x v="0"/>
    <x v="1"/>
    <x v="0"/>
    <n v="0"/>
    <x v="11"/>
    <s v="Category05"/>
    <s v="Kg"/>
    <n v="76"/>
    <n v="76"/>
    <x v="22"/>
    <n v="684"/>
    <n v="8"/>
    <s v="Mar"/>
    <x v="0"/>
  </r>
  <r>
    <x v="32"/>
    <x v="19"/>
    <x v="2"/>
    <x v="0"/>
    <x v="0"/>
    <n v="0"/>
    <x v="19"/>
    <s v="Category04"/>
    <s v="Lt"/>
    <n v="47"/>
    <n v="47"/>
    <x v="53"/>
    <n v="282"/>
    <n v="9"/>
    <s v="Mar"/>
    <x v="0"/>
  </r>
  <r>
    <x v="33"/>
    <x v="7"/>
    <x v="14"/>
    <x v="2"/>
    <x v="1"/>
    <n v="0"/>
    <x v="7"/>
    <s v="Category03"/>
    <s v="No."/>
    <n v="7"/>
    <n v="7"/>
    <x v="54"/>
    <n v="77"/>
    <n v="11"/>
    <s v="Mar"/>
    <x v="0"/>
  </r>
  <r>
    <x v="34"/>
    <x v="33"/>
    <x v="9"/>
    <x v="0"/>
    <x v="1"/>
    <n v="0"/>
    <x v="33"/>
    <s v="Category04"/>
    <s v="No."/>
    <n v="37"/>
    <n v="37"/>
    <x v="55"/>
    <n v="370"/>
    <n v="13"/>
    <s v="Mar"/>
    <x v="0"/>
  </r>
  <r>
    <x v="35"/>
    <x v="34"/>
    <x v="14"/>
    <x v="1"/>
    <x v="1"/>
    <n v="0"/>
    <x v="34"/>
    <s v="Category05"/>
    <s v="No."/>
    <n v="37"/>
    <n v="37"/>
    <x v="49"/>
    <n v="407"/>
    <n v="15"/>
    <s v="Mar"/>
    <x v="0"/>
  </r>
  <r>
    <x v="36"/>
    <x v="35"/>
    <x v="12"/>
    <x v="2"/>
    <x v="1"/>
    <n v="0"/>
    <x v="35"/>
    <s v="Category02"/>
    <s v="Kg"/>
    <n v="73"/>
    <n v="73"/>
    <x v="56"/>
    <n v="1022"/>
    <n v="16"/>
    <s v="Mar"/>
    <x v="0"/>
  </r>
  <r>
    <x v="37"/>
    <x v="10"/>
    <x v="6"/>
    <x v="0"/>
    <x v="1"/>
    <n v="0"/>
    <x v="10"/>
    <s v="Category05"/>
    <s v="Ft"/>
    <n v="120"/>
    <n v="120"/>
    <x v="57"/>
    <n v="960"/>
    <n v="18"/>
    <s v="Mar"/>
    <x v="0"/>
  </r>
  <r>
    <x v="38"/>
    <x v="33"/>
    <x v="0"/>
    <x v="1"/>
    <x v="1"/>
    <n v="0"/>
    <x v="33"/>
    <s v="Category04"/>
    <s v="No."/>
    <n v="37"/>
    <n v="37"/>
    <x v="58"/>
    <n v="333"/>
    <n v="19"/>
    <s v="Mar"/>
    <x v="0"/>
  </r>
  <r>
    <x v="39"/>
    <x v="14"/>
    <x v="10"/>
    <x v="1"/>
    <x v="0"/>
    <n v="0"/>
    <x v="14"/>
    <s v="Category03"/>
    <s v="Lt"/>
    <n v="61"/>
    <n v="61"/>
    <x v="59"/>
    <n v="793"/>
    <n v="21"/>
    <s v="Mar"/>
    <x v="0"/>
  </r>
  <r>
    <x v="39"/>
    <x v="34"/>
    <x v="11"/>
    <x v="2"/>
    <x v="0"/>
    <n v="0"/>
    <x v="34"/>
    <s v="Category05"/>
    <s v="No."/>
    <n v="37"/>
    <n v="37"/>
    <x v="60"/>
    <n v="259"/>
    <n v="21"/>
    <s v="Mar"/>
    <x v="0"/>
  </r>
  <r>
    <x v="40"/>
    <x v="29"/>
    <x v="6"/>
    <x v="1"/>
    <x v="0"/>
    <n v="0"/>
    <x v="29"/>
    <s v="Category01"/>
    <s v="Kg"/>
    <n v="105"/>
    <n v="105"/>
    <x v="61"/>
    <n v="840"/>
    <n v="22"/>
    <s v="Mar"/>
    <x v="0"/>
  </r>
  <r>
    <x v="40"/>
    <x v="35"/>
    <x v="7"/>
    <x v="1"/>
    <x v="0"/>
    <n v="0"/>
    <x v="35"/>
    <s v="Category02"/>
    <s v="Kg"/>
    <n v="73"/>
    <n v="73"/>
    <x v="62"/>
    <n v="292"/>
    <n v="22"/>
    <s v="Mar"/>
    <x v="0"/>
  </r>
  <r>
    <x v="41"/>
    <x v="0"/>
    <x v="12"/>
    <x v="1"/>
    <x v="1"/>
    <n v="0"/>
    <x v="0"/>
    <s v="Category03"/>
    <s v="Ft"/>
    <n v="144"/>
    <n v="144"/>
    <x v="63"/>
    <n v="2016"/>
    <n v="25"/>
    <s v="Mar"/>
    <x v="0"/>
  </r>
  <r>
    <x v="41"/>
    <x v="15"/>
    <x v="7"/>
    <x v="2"/>
    <x v="1"/>
    <n v="0"/>
    <x v="15"/>
    <s v="Category01"/>
    <s v="Kg"/>
    <n v="75"/>
    <n v="75"/>
    <x v="64"/>
    <n v="300"/>
    <n v="25"/>
    <s v="Mar"/>
    <x v="0"/>
  </r>
  <r>
    <x v="41"/>
    <x v="19"/>
    <x v="6"/>
    <x v="2"/>
    <x v="1"/>
    <n v="0"/>
    <x v="19"/>
    <s v="Category04"/>
    <s v="Lt"/>
    <n v="47"/>
    <n v="47"/>
    <x v="65"/>
    <n v="376"/>
    <n v="25"/>
    <s v="Mar"/>
    <x v="0"/>
  </r>
  <r>
    <x v="41"/>
    <x v="1"/>
    <x v="13"/>
    <x v="2"/>
    <x v="0"/>
    <n v="0"/>
    <x v="1"/>
    <s v="Category05"/>
    <s v="Kg"/>
    <n v="72"/>
    <n v="72"/>
    <x v="66"/>
    <n v="144"/>
    <n v="25"/>
    <s v="Mar"/>
    <x v="0"/>
  </r>
  <r>
    <x v="42"/>
    <x v="16"/>
    <x v="7"/>
    <x v="2"/>
    <x v="1"/>
    <n v="0"/>
    <x v="16"/>
    <s v="Category01"/>
    <s v="Kg"/>
    <n v="98"/>
    <n v="98"/>
    <x v="67"/>
    <n v="392"/>
    <n v="26"/>
    <s v="Mar"/>
    <x v="0"/>
  </r>
  <r>
    <x v="42"/>
    <x v="10"/>
    <x v="5"/>
    <x v="2"/>
    <x v="1"/>
    <n v="0"/>
    <x v="10"/>
    <s v="Category05"/>
    <s v="Ft"/>
    <n v="120"/>
    <n v="120"/>
    <x v="68"/>
    <n v="120"/>
    <n v="26"/>
    <s v="Mar"/>
    <x v="0"/>
  </r>
  <r>
    <x v="42"/>
    <x v="20"/>
    <x v="0"/>
    <x v="2"/>
    <x v="0"/>
    <n v="0"/>
    <x v="20"/>
    <s v="Category02"/>
    <s v="Ft"/>
    <n v="148"/>
    <n v="148"/>
    <x v="69"/>
    <n v="1332"/>
    <n v="26"/>
    <s v="Mar"/>
    <x v="0"/>
  </r>
  <r>
    <x v="43"/>
    <x v="28"/>
    <x v="8"/>
    <x v="2"/>
    <x v="0"/>
    <n v="0"/>
    <x v="28"/>
    <s v="Category04"/>
    <s v="Ft"/>
    <n v="148"/>
    <n v="148"/>
    <x v="70"/>
    <n v="444"/>
    <n v="27"/>
    <s v="Mar"/>
    <x v="0"/>
  </r>
  <r>
    <x v="44"/>
    <x v="36"/>
    <x v="6"/>
    <x v="1"/>
    <x v="1"/>
    <n v="0"/>
    <x v="36"/>
    <s v="Category01"/>
    <s v="Lt"/>
    <n v="43"/>
    <n v="43"/>
    <x v="71"/>
    <n v="344"/>
    <n v="28"/>
    <s v="Mar"/>
    <x v="0"/>
  </r>
  <r>
    <x v="45"/>
    <x v="1"/>
    <x v="5"/>
    <x v="1"/>
    <x v="1"/>
    <n v="0"/>
    <x v="1"/>
    <s v="Category05"/>
    <s v="Kg"/>
    <n v="72"/>
    <n v="72"/>
    <x v="41"/>
    <n v="72"/>
    <n v="30"/>
    <s v="Mar"/>
    <x v="0"/>
  </r>
  <r>
    <x v="46"/>
    <x v="10"/>
    <x v="8"/>
    <x v="2"/>
    <x v="1"/>
    <n v="0"/>
    <x v="10"/>
    <s v="Category05"/>
    <s v="Ft"/>
    <n v="120"/>
    <n v="120"/>
    <x v="72"/>
    <n v="360"/>
    <n v="31"/>
    <s v="Mar"/>
    <x v="0"/>
  </r>
  <r>
    <x v="47"/>
    <x v="17"/>
    <x v="7"/>
    <x v="2"/>
    <x v="1"/>
    <n v="0"/>
    <x v="17"/>
    <s v="Category05"/>
    <s v="Kg"/>
    <n v="90"/>
    <n v="90"/>
    <x v="72"/>
    <n v="360"/>
    <n v="4"/>
    <s v="Apr"/>
    <x v="0"/>
  </r>
  <r>
    <x v="47"/>
    <x v="37"/>
    <x v="0"/>
    <x v="1"/>
    <x v="1"/>
    <n v="0"/>
    <x v="37"/>
    <s v="Category01"/>
    <s v="No."/>
    <n v="6"/>
    <n v="6"/>
    <x v="73"/>
    <n v="54"/>
    <n v="4"/>
    <s v="Apr"/>
    <x v="0"/>
  </r>
  <r>
    <x v="48"/>
    <x v="5"/>
    <x v="1"/>
    <x v="1"/>
    <x v="0"/>
    <n v="0"/>
    <x v="5"/>
    <s v="Category04"/>
    <s v="Kg"/>
    <n v="93"/>
    <n v="93"/>
    <x v="74"/>
    <n v="1395"/>
    <n v="5"/>
    <s v="Apr"/>
    <x v="0"/>
  </r>
  <r>
    <x v="49"/>
    <x v="24"/>
    <x v="8"/>
    <x v="1"/>
    <x v="0"/>
    <n v="0"/>
    <x v="24"/>
    <s v="Category01"/>
    <s v="Ft"/>
    <n v="133"/>
    <n v="133"/>
    <x v="75"/>
    <n v="399"/>
    <n v="9"/>
    <s v="Apr"/>
    <x v="0"/>
  </r>
  <r>
    <x v="50"/>
    <x v="22"/>
    <x v="12"/>
    <x v="2"/>
    <x v="0"/>
    <n v="0"/>
    <x v="22"/>
    <s v="Category03"/>
    <s v="Ft"/>
    <n v="121"/>
    <n v="121"/>
    <x v="76"/>
    <n v="1694"/>
    <n v="10"/>
    <s v="Apr"/>
    <x v="0"/>
  </r>
  <r>
    <x v="51"/>
    <x v="8"/>
    <x v="8"/>
    <x v="2"/>
    <x v="1"/>
    <n v="0"/>
    <x v="8"/>
    <s v="Category05"/>
    <s v="Kg"/>
    <n v="67"/>
    <n v="67"/>
    <x v="8"/>
    <n v="201"/>
    <n v="12"/>
    <s v="Apr"/>
    <x v="0"/>
  </r>
  <r>
    <x v="51"/>
    <x v="19"/>
    <x v="7"/>
    <x v="2"/>
    <x v="0"/>
    <n v="0"/>
    <x v="19"/>
    <s v="Category04"/>
    <s v="Lt"/>
    <n v="47"/>
    <n v="47"/>
    <x v="77"/>
    <n v="188"/>
    <n v="12"/>
    <s v="Apr"/>
    <x v="0"/>
  </r>
  <r>
    <x v="51"/>
    <x v="26"/>
    <x v="0"/>
    <x v="2"/>
    <x v="0"/>
    <n v="0"/>
    <x v="26"/>
    <s v="Category04"/>
    <s v="Lt"/>
    <n v="48"/>
    <n v="48"/>
    <x v="78"/>
    <n v="432"/>
    <n v="12"/>
    <s v="Apr"/>
    <x v="0"/>
  </r>
  <r>
    <x v="51"/>
    <x v="38"/>
    <x v="10"/>
    <x v="2"/>
    <x v="1"/>
    <n v="0"/>
    <x v="38"/>
    <s v="Category04"/>
    <s v="Kg"/>
    <n v="95"/>
    <n v="95"/>
    <x v="79"/>
    <n v="1235"/>
    <n v="12"/>
    <s v="Apr"/>
    <x v="0"/>
  </r>
  <r>
    <x v="52"/>
    <x v="39"/>
    <x v="8"/>
    <x v="2"/>
    <x v="0"/>
    <n v="0"/>
    <x v="39"/>
    <s v="Category02"/>
    <s v="Ft"/>
    <n v="134"/>
    <n v="134"/>
    <x v="80"/>
    <n v="402"/>
    <n v="15"/>
    <s v="Apr"/>
    <x v="0"/>
  </r>
  <r>
    <x v="53"/>
    <x v="30"/>
    <x v="1"/>
    <x v="2"/>
    <x v="1"/>
    <n v="0"/>
    <x v="30"/>
    <s v="Category02"/>
    <s v="No."/>
    <n v="37"/>
    <n v="37"/>
    <x v="81"/>
    <n v="555"/>
    <n v="16"/>
    <s v="Apr"/>
    <x v="0"/>
  </r>
  <r>
    <x v="54"/>
    <x v="1"/>
    <x v="0"/>
    <x v="0"/>
    <x v="0"/>
    <n v="0"/>
    <x v="1"/>
    <s v="Category05"/>
    <s v="Kg"/>
    <n v="72"/>
    <n v="72"/>
    <x v="82"/>
    <n v="648"/>
    <n v="18"/>
    <s v="Apr"/>
    <x v="0"/>
  </r>
  <r>
    <x v="54"/>
    <x v="40"/>
    <x v="10"/>
    <x v="2"/>
    <x v="1"/>
    <n v="0"/>
    <x v="40"/>
    <s v="Category02"/>
    <s v="Ft"/>
    <n v="150"/>
    <n v="150"/>
    <x v="83"/>
    <n v="1950"/>
    <n v="18"/>
    <s v="Apr"/>
    <x v="0"/>
  </r>
  <r>
    <x v="55"/>
    <x v="10"/>
    <x v="2"/>
    <x v="2"/>
    <x v="0"/>
    <n v="0"/>
    <x v="10"/>
    <s v="Category05"/>
    <s v="Ft"/>
    <n v="120"/>
    <n v="120"/>
    <x v="18"/>
    <n v="720"/>
    <n v="23"/>
    <s v="Apr"/>
    <x v="0"/>
  </r>
  <r>
    <x v="55"/>
    <x v="33"/>
    <x v="9"/>
    <x v="2"/>
    <x v="0"/>
    <n v="0"/>
    <x v="33"/>
    <s v="Category04"/>
    <s v="No."/>
    <n v="37"/>
    <n v="37"/>
    <x v="55"/>
    <n v="370"/>
    <n v="23"/>
    <s v="Apr"/>
    <x v="0"/>
  </r>
  <r>
    <x v="56"/>
    <x v="28"/>
    <x v="13"/>
    <x v="1"/>
    <x v="0"/>
    <n v="0"/>
    <x v="28"/>
    <s v="Category04"/>
    <s v="Ft"/>
    <n v="148"/>
    <n v="148"/>
    <x v="48"/>
    <n v="296"/>
    <n v="24"/>
    <s v="Apr"/>
    <x v="0"/>
  </r>
  <r>
    <x v="57"/>
    <x v="8"/>
    <x v="8"/>
    <x v="2"/>
    <x v="0"/>
    <n v="0"/>
    <x v="8"/>
    <s v="Category05"/>
    <s v="Kg"/>
    <n v="67"/>
    <n v="67"/>
    <x v="8"/>
    <n v="201"/>
    <n v="26"/>
    <s v="Apr"/>
    <x v="0"/>
  </r>
  <r>
    <x v="58"/>
    <x v="28"/>
    <x v="11"/>
    <x v="2"/>
    <x v="0"/>
    <n v="0"/>
    <x v="28"/>
    <s v="Category04"/>
    <s v="Ft"/>
    <n v="148"/>
    <n v="148"/>
    <x v="29"/>
    <n v="1036"/>
    <n v="29"/>
    <s v="Apr"/>
    <x v="0"/>
  </r>
  <r>
    <x v="59"/>
    <x v="19"/>
    <x v="5"/>
    <x v="2"/>
    <x v="0"/>
    <n v="0"/>
    <x v="19"/>
    <s v="Category04"/>
    <s v="Lt"/>
    <n v="47"/>
    <n v="47"/>
    <x v="84"/>
    <n v="47"/>
    <n v="30"/>
    <s v="Apr"/>
    <x v="0"/>
  </r>
  <r>
    <x v="60"/>
    <x v="30"/>
    <x v="8"/>
    <x v="1"/>
    <x v="1"/>
    <n v="0"/>
    <x v="30"/>
    <s v="Category02"/>
    <s v="No."/>
    <n v="37"/>
    <n v="37"/>
    <x v="85"/>
    <n v="111"/>
    <n v="1"/>
    <s v="May"/>
    <x v="0"/>
  </r>
  <r>
    <x v="60"/>
    <x v="10"/>
    <x v="5"/>
    <x v="1"/>
    <x v="1"/>
    <n v="0"/>
    <x v="10"/>
    <s v="Category05"/>
    <s v="Ft"/>
    <n v="120"/>
    <n v="120"/>
    <x v="68"/>
    <n v="120"/>
    <n v="1"/>
    <s v="May"/>
    <x v="0"/>
  </r>
  <r>
    <x v="61"/>
    <x v="13"/>
    <x v="8"/>
    <x v="1"/>
    <x v="0"/>
    <n v="0"/>
    <x v="13"/>
    <s v="Category04"/>
    <s v="Lt"/>
    <n v="55"/>
    <n v="55"/>
    <x v="86"/>
    <n v="165"/>
    <n v="3"/>
    <s v="May"/>
    <x v="0"/>
  </r>
  <r>
    <x v="62"/>
    <x v="27"/>
    <x v="10"/>
    <x v="1"/>
    <x v="0"/>
    <n v="0"/>
    <x v="27"/>
    <s v="Category02"/>
    <s v="No."/>
    <n v="12"/>
    <n v="12"/>
    <x v="87"/>
    <n v="156"/>
    <n v="4"/>
    <s v="May"/>
    <x v="0"/>
  </r>
  <r>
    <x v="62"/>
    <x v="9"/>
    <x v="7"/>
    <x v="2"/>
    <x v="1"/>
    <n v="0"/>
    <x v="9"/>
    <s v="Category02"/>
    <s v="Kg"/>
    <n v="112"/>
    <n v="112"/>
    <x v="9"/>
    <n v="448"/>
    <n v="4"/>
    <s v="May"/>
    <x v="0"/>
  </r>
  <r>
    <x v="63"/>
    <x v="37"/>
    <x v="10"/>
    <x v="2"/>
    <x v="1"/>
    <n v="0"/>
    <x v="37"/>
    <s v="Category01"/>
    <s v="No."/>
    <n v="6"/>
    <n v="6"/>
    <x v="88"/>
    <n v="78"/>
    <n v="5"/>
    <s v="May"/>
    <x v="0"/>
  </r>
  <r>
    <x v="64"/>
    <x v="25"/>
    <x v="1"/>
    <x v="2"/>
    <x v="0"/>
    <n v="0"/>
    <x v="25"/>
    <s v="Category01"/>
    <s v="Kg"/>
    <n v="83"/>
    <n v="83"/>
    <x v="89"/>
    <n v="1245"/>
    <n v="6"/>
    <s v="May"/>
    <x v="0"/>
  </r>
  <r>
    <x v="64"/>
    <x v="37"/>
    <x v="2"/>
    <x v="1"/>
    <x v="0"/>
    <n v="0"/>
    <x v="37"/>
    <s v="Category01"/>
    <s v="No."/>
    <n v="6"/>
    <n v="6"/>
    <x v="90"/>
    <n v="36"/>
    <n v="6"/>
    <s v="May"/>
    <x v="0"/>
  </r>
  <r>
    <x v="65"/>
    <x v="30"/>
    <x v="5"/>
    <x v="2"/>
    <x v="1"/>
    <n v="0"/>
    <x v="30"/>
    <s v="Category02"/>
    <s v="No."/>
    <n v="37"/>
    <n v="37"/>
    <x v="91"/>
    <n v="37"/>
    <n v="7"/>
    <s v="May"/>
    <x v="0"/>
  </r>
  <r>
    <x v="66"/>
    <x v="21"/>
    <x v="2"/>
    <x v="1"/>
    <x v="0"/>
    <n v="0"/>
    <x v="21"/>
    <s v="Category02"/>
    <s v="No."/>
    <n v="13"/>
    <n v="13"/>
    <x v="88"/>
    <n v="78"/>
    <n v="9"/>
    <s v="May"/>
    <x v="0"/>
  </r>
  <r>
    <x v="66"/>
    <x v="33"/>
    <x v="6"/>
    <x v="2"/>
    <x v="1"/>
    <n v="0"/>
    <x v="33"/>
    <s v="Category04"/>
    <s v="No."/>
    <n v="37"/>
    <n v="37"/>
    <x v="48"/>
    <n v="296"/>
    <n v="9"/>
    <s v="May"/>
    <x v="0"/>
  </r>
  <r>
    <x v="67"/>
    <x v="21"/>
    <x v="8"/>
    <x v="2"/>
    <x v="0"/>
    <n v="0"/>
    <x v="21"/>
    <s v="Category02"/>
    <s v="No."/>
    <n v="13"/>
    <n v="13"/>
    <x v="92"/>
    <n v="39"/>
    <n v="12"/>
    <s v="May"/>
    <x v="0"/>
  </r>
  <r>
    <x v="67"/>
    <x v="4"/>
    <x v="1"/>
    <x v="2"/>
    <x v="0"/>
    <n v="0"/>
    <x v="4"/>
    <s v="Category04"/>
    <s v="No."/>
    <n v="5"/>
    <n v="5"/>
    <x v="93"/>
    <n v="75"/>
    <n v="12"/>
    <s v="May"/>
    <x v="0"/>
  </r>
  <r>
    <x v="68"/>
    <x v="19"/>
    <x v="7"/>
    <x v="2"/>
    <x v="0"/>
    <n v="0"/>
    <x v="19"/>
    <s v="Category04"/>
    <s v="Lt"/>
    <n v="47"/>
    <n v="47"/>
    <x v="77"/>
    <n v="188"/>
    <n v="13"/>
    <s v="May"/>
    <x v="0"/>
  </r>
  <r>
    <x v="69"/>
    <x v="10"/>
    <x v="13"/>
    <x v="1"/>
    <x v="1"/>
    <n v="0"/>
    <x v="10"/>
    <s v="Category05"/>
    <s v="Ft"/>
    <n v="120"/>
    <n v="120"/>
    <x v="94"/>
    <n v="240"/>
    <n v="20"/>
    <s v="May"/>
    <x v="0"/>
  </r>
  <r>
    <x v="70"/>
    <x v="17"/>
    <x v="14"/>
    <x v="2"/>
    <x v="0"/>
    <n v="0"/>
    <x v="17"/>
    <s v="Category05"/>
    <s v="Kg"/>
    <n v="90"/>
    <n v="90"/>
    <x v="95"/>
    <n v="990"/>
    <n v="23"/>
    <s v="May"/>
    <x v="0"/>
  </r>
  <r>
    <x v="71"/>
    <x v="12"/>
    <x v="10"/>
    <x v="1"/>
    <x v="0"/>
    <n v="0"/>
    <x v="12"/>
    <s v="Category03"/>
    <s v="Ft"/>
    <n v="141"/>
    <n v="141"/>
    <x v="96"/>
    <n v="1833"/>
    <n v="30"/>
    <s v="May"/>
    <x v="0"/>
  </r>
  <r>
    <x v="71"/>
    <x v="2"/>
    <x v="2"/>
    <x v="1"/>
    <x v="1"/>
    <n v="0"/>
    <x v="2"/>
    <s v="Category02"/>
    <s v="Kg"/>
    <n v="112"/>
    <n v="112"/>
    <x v="2"/>
    <n v="672"/>
    <n v="30"/>
    <s v="May"/>
    <x v="0"/>
  </r>
  <r>
    <x v="72"/>
    <x v="32"/>
    <x v="9"/>
    <x v="2"/>
    <x v="1"/>
    <n v="0"/>
    <x v="32"/>
    <s v="Category03"/>
    <s v="Ft"/>
    <n v="126"/>
    <n v="126"/>
    <x v="97"/>
    <n v="1260"/>
    <n v="3"/>
    <s v="Jun"/>
    <x v="0"/>
  </r>
  <r>
    <x v="73"/>
    <x v="14"/>
    <x v="6"/>
    <x v="0"/>
    <x v="0"/>
    <n v="0"/>
    <x v="14"/>
    <s v="Category03"/>
    <s v="Lt"/>
    <n v="61"/>
    <n v="61"/>
    <x v="98"/>
    <n v="488"/>
    <n v="4"/>
    <s v="Jun"/>
    <x v="0"/>
  </r>
  <r>
    <x v="73"/>
    <x v="14"/>
    <x v="4"/>
    <x v="1"/>
    <x v="1"/>
    <n v="0"/>
    <x v="14"/>
    <s v="Category03"/>
    <s v="Lt"/>
    <n v="61"/>
    <n v="61"/>
    <x v="99"/>
    <n v="732"/>
    <n v="4"/>
    <s v="Jun"/>
    <x v="0"/>
  </r>
  <r>
    <x v="74"/>
    <x v="22"/>
    <x v="1"/>
    <x v="0"/>
    <x v="0"/>
    <n v="0"/>
    <x v="22"/>
    <s v="Category03"/>
    <s v="Ft"/>
    <n v="121"/>
    <n v="121"/>
    <x v="100"/>
    <n v="1815"/>
    <n v="5"/>
    <s v="Jun"/>
    <x v="0"/>
  </r>
  <r>
    <x v="74"/>
    <x v="4"/>
    <x v="9"/>
    <x v="2"/>
    <x v="0"/>
    <n v="0"/>
    <x v="4"/>
    <s v="Category04"/>
    <s v="No."/>
    <n v="5"/>
    <n v="5"/>
    <x v="101"/>
    <n v="50"/>
    <n v="5"/>
    <s v="Jun"/>
    <x v="0"/>
  </r>
  <r>
    <x v="75"/>
    <x v="38"/>
    <x v="2"/>
    <x v="2"/>
    <x v="0"/>
    <n v="0"/>
    <x v="38"/>
    <s v="Category04"/>
    <s v="Kg"/>
    <n v="95"/>
    <n v="95"/>
    <x v="102"/>
    <n v="570"/>
    <n v="6"/>
    <s v="Jun"/>
    <x v="0"/>
  </r>
  <r>
    <x v="76"/>
    <x v="33"/>
    <x v="14"/>
    <x v="2"/>
    <x v="0"/>
    <n v="0"/>
    <x v="33"/>
    <s v="Category04"/>
    <s v="No."/>
    <n v="37"/>
    <n v="37"/>
    <x v="49"/>
    <n v="407"/>
    <n v="8"/>
    <s v="Jun"/>
    <x v="0"/>
  </r>
  <r>
    <x v="76"/>
    <x v="3"/>
    <x v="14"/>
    <x v="0"/>
    <x v="1"/>
    <n v="0"/>
    <x v="3"/>
    <s v="Category01"/>
    <s v="Lt"/>
    <n v="44"/>
    <n v="44"/>
    <x v="103"/>
    <n v="484"/>
    <n v="8"/>
    <s v="Jun"/>
    <x v="0"/>
  </r>
  <r>
    <x v="77"/>
    <x v="16"/>
    <x v="11"/>
    <x v="2"/>
    <x v="0"/>
    <n v="0"/>
    <x v="16"/>
    <s v="Category01"/>
    <s v="Kg"/>
    <n v="98"/>
    <n v="98"/>
    <x v="24"/>
    <n v="686"/>
    <n v="9"/>
    <s v="Jun"/>
    <x v="0"/>
  </r>
  <r>
    <x v="78"/>
    <x v="18"/>
    <x v="4"/>
    <x v="0"/>
    <x v="1"/>
    <n v="0"/>
    <x v="18"/>
    <s v="Category04"/>
    <s v="Kg"/>
    <n v="89"/>
    <n v="89"/>
    <x v="104"/>
    <n v="1068"/>
    <n v="11"/>
    <s v="Jun"/>
    <x v="0"/>
  </r>
  <r>
    <x v="79"/>
    <x v="41"/>
    <x v="2"/>
    <x v="2"/>
    <x v="0"/>
    <n v="0"/>
    <x v="41"/>
    <s v="Category05"/>
    <s v="Ft"/>
    <n v="138"/>
    <n v="138"/>
    <x v="105"/>
    <n v="828"/>
    <n v="12"/>
    <s v="Jun"/>
    <x v="0"/>
  </r>
  <r>
    <x v="80"/>
    <x v="7"/>
    <x v="9"/>
    <x v="1"/>
    <x v="1"/>
    <n v="0"/>
    <x v="7"/>
    <s v="Category03"/>
    <s v="No."/>
    <n v="7"/>
    <n v="7"/>
    <x v="106"/>
    <n v="70"/>
    <n v="14"/>
    <s v="Jun"/>
    <x v="0"/>
  </r>
  <r>
    <x v="81"/>
    <x v="40"/>
    <x v="3"/>
    <x v="0"/>
    <x v="1"/>
    <n v="0"/>
    <x v="40"/>
    <s v="Category02"/>
    <s v="Ft"/>
    <n v="150"/>
    <n v="150"/>
    <x v="107"/>
    <n v="750"/>
    <n v="16"/>
    <s v="Jun"/>
    <x v="0"/>
  </r>
  <r>
    <x v="81"/>
    <x v="27"/>
    <x v="4"/>
    <x v="1"/>
    <x v="1"/>
    <n v="0"/>
    <x v="27"/>
    <s v="Category02"/>
    <s v="No."/>
    <n v="12"/>
    <n v="12"/>
    <x v="66"/>
    <n v="144"/>
    <n v="16"/>
    <s v="Jun"/>
    <x v="0"/>
  </r>
  <r>
    <x v="81"/>
    <x v="34"/>
    <x v="14"/>
    <x v="2"/>
    <x v="1"/>
    <n v="0"/>
    <x v="34"/>
    <s v="Category05"/>
    <s v="No."/>
    <n v="37"/>
    <n v="37"/>
    <x v="49"/>
    <n v="407"/>
    <n v="16"/>
    <s v="Jun"/>
    <x v="0"/>
  </r>
  <r>
    <x v="82"/>
    <x v="7"/>
    <x v="10"/>
    <x v="2"/>
    <x v="1"/>
    <n v="0"/>
    <x v="7"/>
    <s v="Category03"/>
    <s v="No."/>
    <n v="7"/>
    <n v="7"/>
    <x v="108"/>
    <n v="91"/>
    <n v="18"/>
    <s v="Jun"/>
    <x v="0"/>
  </r>
  <r>
    <x v="83"/>
    <x v="41"/>
    <x v="3"/>
    <x v="2"/>
    <x v="0"/>
    <n v="0"/>
    <x v="41"/>
    <s v="Category05"/>
    <s v="Ft"/>
    <n v="138"/>
    <n v="138"/>
    <x v="109"/>
    <n v="690"/>
    <n v="19"/>
    <s v="Jun"/>
    <x v="0"/>
  </r>
  <r>
    <x v="84"/>
    <x v="21"/>
    <x v="5"/>
    <x v="0"/>
    <x v="1"/>
    <n v="0"/>
    <x v="21"/>
    <s v="Category02"/>
    <s v="No."/>
    <n v="13"/>
    <n v="13"/>
    <x v="110"/>
    <n v="13"/>
    <n v="20"/>
    <s v="Jun"/>
    <x v="0"/>
  </r>
  <r>
    <x v="85"/>
    <x v="21"/>
    <x v="7"/>
    <x v="2"/>
    <x v="0"/>
    <n v="0"/>
    <x v="21"/>
    <s v="Category02"/>
    <s v="No."/>
    <n v="13"/>
    <n v="13"/>
    <x v="111"/>
    <n v="52"/>
    <n v="23"/>
    <s v="Jun"/>
    <x v="0"/>
  </r>
  <r>
    <x v="86"/>
    <x v="31"/>
    <x v="10"/>
    <x v="2"/>
    <x v="0"/>
    <n v="0"/>
    <x v="31"/>
    <s v="Category02"/>
    <s v="Lt"/>
    <n v="44"/>
    <n v="44"/>
    <x v="112"/>
    <n v="572"/>
    <n v="24"/>
    <s v="Jun"/>
    <x v="0"/>
  </r>
  <r>
    <x v="87"/>
    <x v="37"/>
    <x v="11"/>
    <x v="1"/>
    <x v="0"/>
    <n v="0"/>
    <x v="37"/>
    <s v="Category01"/>
    <s v="No."/>
    <n v="6"/>
    <n v="6"/>
    <x v="113"/>
    <n v="42"/>
    <n v="26"/>
    <s v="Jun"/>
    <x v="0"/>
  </r>
  <r>
    <x v="88"/>
    <x v="24"/>
    <x v="14"/>
    <x v="2"/>
    <x v="1"/>
    <n v="0"/>
    <x v="24"/>
    <s v="Category01"/>
    <s v="Ft"/>
    <n v="133"/>
    <n v="133"/>
    <x v="114"/>
    <n v="1463"/>
    <n v="27"/>
    <s v="Jun"/>
    <x v="0"/>
  </r>
  <r>
    <x v="89"/>
    <x v="32"/>
    <x v="13"/>
    <x v="1"/>
    <x v="1"/>
    <n v="0"/>
    <x v="32"/>
    <s v="Category03"/>
    <s v="Ft"/>
    <n v="126"/>
    <n v="126"/>
    <x v="115"/>
    <n v="252"/>
    <n v="28"/>
    <s v="Jun"/>
    <x v="0"/>
  </r>
  <r>
    <x v="89"/>
    <x v="4"/>
    <x v="11"/>
    <x v="1"/>
    <x v="0"/>
    <n v="0"/>
    <x v="4"/>
    <s v="Category04"/>
    <s v="No."/>
    <n v="5"/>
    <n v="5"/>
    <x v="20"/>
    <n v="35"/>
    <n v="28"/>
    <s v="Jun"/>
    <x v="0"/>
  </r>
  <r>
    <x v="90"/>
    <x v="9"/>
    <x v="7"/>
    <x v="2"/>
    <x v="0"/>
    <n v="0"/>
    <x v="9"/>
    <s v="Category02"/>
    <s v="Kg"/>
    <n v="112"/>
    <n v="112"/>
    <x v="9"/>
    <n v="448"/>
    <n v="29"/>
    <s v="Jun"/>
    <x v="0"/>
  </r>
  <r>
    <x v="91"/>
    <x v="24"/>
    <x v="14"/>
    <x v="2"/>
    <x v="1"/>
    <n v="0"/>
    <x v="24"/>
    <s v="Category01"/>
    <s v="Ft"/>
    <n v="133"/>
    <n v="133"/>
    <x v="114"/>
    <n v="1463"/>
    <n v="1"/>
    <s v="Jul"/>
    <x v="0"/>
  </r>
  <r>
    <x v="92"/>
    <x v="20"/>
    <x v="14"/>
    <x v="2"/>
    <x v="1"/>
    <n v="0"/>
    <x v="20"/>
    <s v="Category02"/>
    <s v="Ft"/>
    <n v="148"/>
    <n v="148"/>
    <x v="42"/>
    <n v="1628"/>
    <n v="2"/>
    <s v="Jul"/>
    <x v="0"/>
  </r>
  <r>
    <x v="93"/>
    <x v="38"/>
    <x v="0"/>
    <x v="1"/>
    <x v="1"/>
    <n v="0"/>
    <x v="38"/>
    <s v="Category04"/>
    <s v="Kg"/>
    <n v="95"/>
    <n v="95"/>
    <x v="116"/>
    <n v="855"/>
    <n v="3"/>
    <s v="Jul"/>
    <x v="0"/>
  </r>
  <r>
    <x v="93"/>
    <x v="6"/>
    <x v="6"/>
    <x v="1"/>
    <x v="1"/>
    <n v="0"/>
    <x v="6"/>
    <s v="Category01"/>
    <s v="Kg"/>
    <n v="71"/>
    <n v="71"/>
    <x v="6"/>
    <n v="568"/>
    <n v="3"/>
    <s v="Jul"/>
    <x v="0"/>
  </r>
  <r>
    <x v="94"/>
    <x v="29"/>
    <x v="6"/>
    <x v="2"/>
    <x v="0"/>
    <n v="0"/>
    <x v="29"/>
    <s v="Category01"/>
    <s v="Kg"/>
    <n v="105"/>
    <n v="105"/>
    <x v="61"/>
    <n v="840"/>
    <n v="5"/>
    <s v="Jul"/>
    <x v="0"/>
  </r>
  <r>
    <x v="95"/>
    <x v="41"/>
    <x v="1"/>
    <x v="2"/>
    <x v="1"/>
    <n v="0"/>
    <x v="41"/>
    <s v="Category05"/>
    <s v="Ft"/>
    <n v="138"/>
    <n v="138"/>
    <x v="117"/>
    <n v="2070"/>
    <n v="6"/>
    <s v="Jul"/>
    <x v="0"/>
  </r>
  <r>
    <x v="96"/>
    <x v="3"/>
    <x v="9"/>
    <x v="2"/>
    <x v="0"/>
    <n v="0"/>
    <x v="3"/>
    <s v="Category01"/>
    <s v="Lt"/>
    <n v="44"/>
    <n v="44"/>
    <x v="27"/>
    <n v="440"/>
    <n v="8"/>
    <s v="Jul"/>
    <x v="0"/>
  </r>
  <r>
    <x v="97"/>
    <x v="13"/>
    <x v="2"/>
    <x v="0"/>
    <x v="1"/>
    <n v="0"/>
    <x v="13"/>
    <s v="Category04"/>
    <s v="Lt"/>
    <n v="55"/>
    <n v="55"/>
    <x v="19"/>
    <n v="330"/>
    <n v="10"/>
    <s v="Jul"/>
    <x v="0"/>
  </r>
  <r>
    <x v="98"/>
    <x v="37"/>
    <x v="7"/>
    <x v="0"/>
    <x v="0"/>
    <n v="0"/>
    <x v="37"/>
    <s v="Category01"/>
    <s v="No."/>
    <n v="6"/>
    <n v="6"/>
    <x v="118"/>
    <n v="24"/>
    <n v="11"/>
    <s v="Jul"/>
    <x v="0"/>
  </r>
  <r>
    <x v="99"/>
    <x v="40"/>
    <x v="5"/>
    <x v="2"/>
    <x v="1"/>
    <n v="0"/>
    <x v="40"/>
    <s v="Category02"/>
    <s v="Ft"/>
    <n v="150"/>
    <n v="150"/>
    <x v="119"/>
    <n v="150"/>
    <n v="13"/>
    <s v="Jul"/>
    <x v="0"/>
  </r>
  <r>
    <x v="100"/>
    <x v="12"/>
    <x v="6"/>
    <x v="0"/>
    <x v="1"/>
    <n v="0"/>
    <x v="12"/>
    <s v="Category03"/>
    <s v="Ft"/>
    <n v="141"/>
    <n v="141"/>
    <x v="120"/>
    <n v="1128"/>
    <n v="16"/>
    <s v="Jul"/>
    <x v="0"/>
  </r>
  <r>
    <x v="101"/>
    <x v="26"/>
    <x v="12"/>
    <x v="1"/>
    <x v="0"/>
    <n v="0"/>
    <x v="26"/>
    <s v="Category04"/>
    <s v="Lt"/>
    <n v="48"/>
    <n v="48"/>
    <x v="2"/>
    <n v="672"/>
    <n v="18"/>
    <s v="Jul"/>
    <x v="0"/>
  </r>
  <r>
    <x v="102"/>
    <x v="1"/>
    <x v="14"/>
    <x v="1"/>
    <x v="0"/>
    <n v="0"/>
    <x v="1"/>
    <s v="Category05"/>
    <s v="Kg"/>
    <n v="72"/>
    <n v="72"/>
    <x v="121"/>
    <n v="792"/>
    <n v="20"/>
    <s v="Jul"/>
    <x v="0"/>
  </r>
  <r>
    <x v="102"/>
    <x v="23"/>
    <x v="3"/>
    <x v="2"/>
    <x v="0"/>
    <n v="0"/>
    <x v="23"/>
    <s v="Category05"/>
    <s v="Kg"/>
    <n v="67"/>
    <n v="67"/>
    <x v="122"/>
    <n v="335"/>
    <n v="20"/>
    <s v="Jul"/>
    <x v="0"/>
  </r>
  <r>
    <x v="103"/>
    <x v="19"/>
    <x v="1"/>
    <x v="2"/>
    <x v="0"/>
    <n v="0"/>
    <x v="19"/>
    <s v="Category04"/>
    <s v="Lt"/>
    <n v="47"/>
    <n v="47"/>
    <x v="123"/>
    <n v="705"/>
    <n v="21"/>
    <s v="Jul"/>
    <x v="0"/>
  </r>
  <r>
    <x v="104"/>
    <x v="42"/>
    <x v="8"/>
    <x v="0"/>
    <x v="1"/>
    <n v="0"/>
    <x v="42"/>
    <s v="Category04"/>
    <s v="No."/>
    <n v="18"/>
    <n v="18"/>
    <x v="73"/>
    <n v="54"/>
    <n v="22"/>
    <s v="Jul"/>
    <x v="0"/>
  </r>
  <r>
    <x v="104"/>
    <x v="0"/>
    <x v="12"/>
    <x v="1"/>
    <x v="1"/>
    <n v="0"/>
    <x v="0"/>
    <s v="Category03"/>
    <s v="Ft"/>
    <n v="144"/>
    <n v="144"/>
    <x v="63"/>
    <n v="2016"/>
    <n v="22"/>
    <s v="Jul"/>
    <x v="0"/>
  </r>
  <r>
    <x v="105"/>
    <x v="43"/>
    <x v="11"/>
    <x v="0"/>
    <x v="0"/>
    <n v="0"/>
    <x v="43"/>
    <s v="Category04"/>
    <s v="Kg"/>
    <n v="90"/>
    <n v="90"/>
    <x v="25"/>
    <n v="630"/>
    <n v="23"/>
    <s v="Jul"/>
    <x v="0"/>
  </r>
  <r>
    <x v="105"/>
    <x v="8"/>
    <x v="6"/>
    <x v="2"/>
    <x v="0"/>
    <n v="0"/>
    <x v="8"/>
    <s v="Category05"/>
    <s v="Kg"/>
    <n v="67"/>
    <n v="67"/>
    <x v="124"/>
    <n v="536"/>
    <n v="23"/>
    <s v="Jul"/>
    <x v="0"/>
  </r>
  <r>
    <x v="106"/>
    <x v="37"/>
    <x v="7"/>
    <x v="1"/>
    <x v="1"/>
    <n v="0"/>
    <x v="37"/>
    <s v="Category01"/>
    <s v="No."/>
    <n v="6"/>
    <n v="6"/>
    <x v="118"/>
    <n v="24"/>
    <n v="24"/>
    <s v="Jul"/>
    <x v="0"/>
  </r>
  <r>
    <x v="107"/>
    <x v="11"/>
    <x v="1"/>
    <x v="1"/>
    <x v="1"/>
    <n v="0"/>
    <x v="11"/>
    <s v="Category05"/>
    <s v="Kg"/>
    <n v="76"/>
    <n v="76"/>
    <x v="125"/>
    <n v="1140"/>
    <n v="29"/>
    <s v="Jul"/>
    <x v="0"/>
  </r>
  <r>
    <x v="108"/>
    <x v="16"/>
    <x v="14"/>
    <x v="2"/>
    <x v="1"/>
    <n v="0"/>
    <x v="16"/>
    <s v="Category01"/>
    <s v="Kg"/>
    <n v="98"/>
    <n v="98"/>
    <x v="126"/>
    <n v="1078"/>
    <n v="1"/>
    <s v="Aug"/>
    <x v="0"/>
  </r>
  <r>
    <x v="109"/>
    <x v="12"/>
    <x v="8"/>
    <x v="2"/>
    <x v="0"/>
    <n v="0"/>
    <x v="12"/>
    <s v="Category03"/>
    <s v="Ft"/>
    <n v="141"/>
    <n v="141"/>
    <x v="13"/>
    <n v="423"/>
    <n v="2"/>
    <s v="Aug"/>
    <x v="0"/>
  </r>
  <r>
    <x v="110"/>
    <x v="22"/>
    <x v="10"/>
    <x v="1"/>
    <x v="0"/>
    <n v="0"/>
    <x v="22"/>
    <s v="Category03"/>
    <s v="Ft"/>
    <n v="121"/>
    <n v="121"/>
    <x v="127"/>
    <n v="1573"/>
    <n v="3"/>
    <s v="Aug"/>
    <x v="0"/>
  </r>
  <r>
    <x v="110"/>
    <x v="13"/>
    <x v="4"/>
    <x v="1"/>
    <x v="0"/>
    <n v="0"/>
    <x v="13"/>
    <s v="Category04"/>
    <s v="Lt"/>
    <n v="55"/>
    <n v="55"/>
    <x v="16"/>
    <n v="660"/>
    <n v="3"/>
    <s v="Aug"/>
    <x v="0"/>
  </r>
  <r>
    <x v="111"/>
    <x v="33"/>
    <x v="12"/>
    <x v="2"/>
    <x v="1"/>
    <n v="0"/>
    <x v="33"/>
    <s v="Category04"/>
    <s v="No."/>
    <n v="37"/>
    <n v="37"/>
    <x v="128"/>
    <n v="518"/>
    <n v="5"/>
    <s v="Aug"/>
    <x v="0"/>
  </r>
  <r>
    <x v="112"/>
    <x v="8"/>
    <x v="5"/>
    <x v="0"/>
    <x v="1"/>
    <n v="0"/>
    <x v="8"/>
    <s v="Category05"/>
    <s v="Kg"/>
    <n v="67"/>
    <n v="67"/>
    <x v="129"/>
    <n v="67"/>
    <n v="6"/>
    <s v="Aug"/>
    <x v="0"/>
  </r>
  <r>
    <x v="113"/>
    <x v="24"/>
    <x v="7"/>
    <x v="0"/>
    <x v="1"/>
    <n v="0"/>
    <x v="24"/>
    <s v="Category01"/>
    <s v="Ft"/>
    <n v="133"/>
    <n v="133"/>
    <x v="130"/>
    <n v="532"/>
    <n v="10"/>
    <s v="Aug"/>
    <x v="0"/>
  </r>
  <r>
    <x v="113"/>
    <x v="11"/>
    <x v="9"/>
    <x v="1"/>
    <x v="1"/>
    <n v="0"/>
    <x v="11"/>
    <s v="Category05"/>
    <s v="Kg"/>
    <n v="76"/>
    <n v="76"/>
    <x v="131"/>
    <n v="760"/>
    <n v="10"/>
    <s v="Aug"/>
    <x v="0"/>
  </r>
  <r>
    <x v="113"/>
    <x v="15"/>
    <x v="2"/>
    <x v="2"/>
    <x v="1"/>
    <n v="0"/>
    <x v="15"/>
    <s v="Category01"/>
    <s v="Kg"/>
    <n v="75"/>
    <n v="75"/>
    <x v="132"/>
    <n v="450"/>
    <n v="10"/>
    <s v="Aug"/>
    <x v="0"/>
  </r>
  <r>
    <x v="114"/>
    <x v="12"/>
    <x v="7"/>
    <x v="2"/>
    <x v="0"/>
    <n v="0"/>
    <x v="12"/>
    <s v="Category03"/>
    <s v="Ft"/>
    <n v="141"/>
    <n v="141"/>
    <x v="133"/>
    <n v="564"/>
    <n v="11"/>
    <s v="Aug"/>
    <x v="0"/>
  </r>
  <r>
    <x v="115"/>
    <x v="31"/>
    <x v="10"/>
    <x v="2"/>
    <x v="0"/>
    <n v="0"/>
    <x v="31"/>
    <s v="Category02"/>
    <s v="Lt"/>
    <n v="44"/>
    <n v="44"/>
    <x v="112"/>
    <n v="572"/>
    <n v="13"/>
    <s v="Aug"/>
    <x v="0"/>
  </r>
  <r>
    <x v="115"/>
    <x v="26"/>
    <x v="0"/>
    <x v="2"/>
    <x v="0"/>
    <n v="0"/>
    <x v="26"/>
    <s v="Category04"/>
    <s v="Lt"/>
    <n v="48"/>
    <n v="48"/>
    <x v="78"/>
    <n v="432"/>
    <n v="13"/>
    <s v="Aug"/>
    <x v="0"/>
  </r>
  <r>
    <x v="116"/>
    <x v="6"/>
    <x v="8"/>
    <x v="1"/>
    <x v="0"/>
    <n v="0"/>
    <x v="6"/>
    <s v="Category01"/>
    <s v="Kg"/>
    <n v="71"/>
    <n v="71"/>
    <x v="134"/>
    <n v="213"/>
    <n v="16"/>
    <s v="Aug"/>
    <x v="0"/>
  </r>
  <r>
    <x v="117"/>
    <x v="7"/>
    <x v="2"/>
    <x v="2"/>
    <x v="0"/>
    <n v="0"/>
    <x v="7"/>
    <s v="Category03"/>
    <s v="No."/>
    <n v="7"/>
    <n v="7"/>
    <x v="113"/>
    <n v="42"/>
    <n v="18"/>
    <s v="Aug"/>
    <x v="0"/>
  </r>
  <r>
    <x v="118"/>
    <x v="14"/>
    <x v="1"/>
    <x v="2"/>
    <x v="1"/>
    <n v="0"/>
    <x v="14"/>
    <s v="Category03"/>
    <s v="Lt"/>
    <n v="61"/>
    <n v="61"/>
    <x v="135"/>
    <n v="915"/>
    <n v="20"/>
    <s v="Aug"/>
    <x v="0"/>
  </r>
  <r>
    <x v="118"/>
    <x v="5"/>
    <x v="0"/>
    <x v="2"/>
    <x v="0"/>
    <n v="0"/>
    <x v="5"/>
    <s v="Category04"/>
    <s v="Kg"/>
    <n v="93"/>
    <n v="93"/>
    <x v="136"/>
    <n v="837"/>
    <n v="20"/>
    <s v="Aug"/>
    <x v="0"/>
  </r>
  <r>
    <x v="118"/>
    <x v="33"/>
    <x v="10"/>
    <x v="2"/>
    <x v="0"/>
    <n v="0"/>
    <x v="33"/>
    <s v="Category04"/>
    <s v="No."/>
    <n v="37"/>
    <n v="37"/>
    <x v="137"/>
    <n v="481"/>
    <n v="20"/>
    <s v="Aug"/>
    <x v="0"/>
  </r>
  <r>
    <x v="119"/>
    <x v="34"/>
    <x v="7"/>
    <x v="2"/>
    <x v="0"/>
    <n v="0"/>
    <x v="34"/>
    <s v="Category05"/>
    <s v="No."/>
    <n v="37"/>
    <n v="37"/>
    <x v="138"/>
    <n v="148"/>
    <n v="26"/>
    <s v="Aug"/>
    <x v="0"/>
  </r>
  <r>
    <x v="120"/>
    <x v="13"/>
    <x v="4"/>
    <x v="0"/>
    <x v="0"/>
    <n v="0"/>
    <x v="13"/>
    <s v="Category04"/>
    <s v="Lt"/>
    <n v="55"/>
    <n v="55"/>
    <x v="16"/>
    <n v="660"/>
    <n v="29"/>
    <s v="Aug"/>
    <x v="0"/>
  </r>
  <r>
    <x v="121"/>
    <x v="2"/>
    <x v="10"/>
    <x v="2"/>
    <x v="0"/>
    <n v="0"/>
    <x v="2"/>
    <s v="Category02"/>
    <s v="Kg"/>
    <n v="112"/>
    <n v="112"/>
    <x v="139"/>
    <n v="1456"/>
    <n v="30"/>
    <s v="Aug"/>
    <x v="0"/>
  </r>
  <r>
    <x v="122"/>
    <x v="16"/>
    <x v="13"/>
    <x v="2"/>
    <x v="0"/>
    <n v="0"/>
    <x v="16"/>
    <s v="Category01"/>
    <s v="Kg"/>
    <n v="98"/>
    <n v="98"/>
    <x v="140"/>
    <n v="196"/>
    <n v="31"/>
    <s v="Aug"/>
    <x v="0"/>
  </r>
  <r>
    <x v="122"/>
    <x v="4"/>
    <x v="14"/>
    <x v="2"/>
    <x v="0"/>
    <n v="0"/>
    <x v="4"/>
    <s v="Category04"/>
    <s v="No."/>
    <n v="5"/>
    <n v="5"/>
    <x v="141"/>
    <n v="55"/>
    <n v="31"/>
    <s v="Aug"/>
    <x v="0"/>
  </r>
  <r>
    <x v="123"/>
    <x v="0"/>
    <x v="5"/>
    <x v="0"/>
    <x v="1"/>
    <n v="0"/>
    <x v="0"/>
    <s v="Category03"/>
    <s v="Ft"/>
    <n v="144"/>
    <n v="144"/>
    <x v="66"/>
    <n v="144"/>
    <n v="1"/>
    <s v="Sep"/>
    <x v="0"/>
  </r>
  <r>
    <x v="123"/>
    <x v="6"/>
    <x v="12"/>
    <x v="1"/>
    <x v="0"/>
    <n v="0"/>
    <x v="6"/>
    <s v="Category01"/>
    <s v="Kg"/>
    <n v="71"/>
    <n v="71"/>
    <x v="142"/>
    <n v="994"/>
    <n v="1"/>
    <s v="Sep"/>
    <x v="0"/>
  </r>
  <r>
    <x v="124"/>
    <x v="41"/>
    <x v="6"/>
    <x v="2"/>
    <x v="0"/>
    <n v="0"/>
    <x v="41"/>
    <s v="Category05"/>
    <s v="Ft"/>
    <n v="138"/>
    <n v="138"/>
    <x v="143"/>
    <n v="1104"/>
    <n v="3"/>
    <s v="Sep"/>
    <x v="0"/>
  </r>
  <r>
    <x v="125"/>
    <x v="33"/>
    <x v="11"/>
    <x v="2"/>
    <x v="0"/>
    <n v="0"/>
    <x v="33"/>
    <s v="Category04"/>
    <s v="No."/>
    <n v="37"/>
    <n v="37"/>
    <x v="60"/>
    <n v="259"/>
    <n v="4"/>
    <s v="Sep"/>
    <x v="0"/>
  </r>
  <r>
    <x v="125"/>
    <x v="12"/>
    <x v="1"/>
    <x v="2"/>
    <x v="0"/>
    <n v="0"/>
    <x v="12"/>
    <s v="Category03"/>
    <s v="Ft"/>
    <n v="141"/>
    <n v="141"/>
    <x v="144"/>
    <n v="2115"/>
    <n v="4"/>
    <s v="Sep"/>
    <x v="0"/>
  </r>
  <r>
    <x v="126"/>
    <x v="18"/>
    <x v="5"/>
    <x v="2"/>
    <x v="1"/>
    <n v="0"/>
    <x v="18"/>
    <s v="Category04"/>
    <s v="Kg"/>
    <n v="89"/>
    <n v="89"/>
    <x v="145"/>
    <n v="89"/>
    <n v="5"/>
    <s v="Sep"/>
    <x v="0"/>
  </r>
  <r>
    <x v="127"/>
    <x v="40"/>
    <x v="3"/>
    <x v="2"/>
    <x v="0"/>
    <n v="0"/>
    <x v="40"/>
    <s v="Category02"/>
    <s v="Ft"/>
    <n v="150"/>
    <n v="150"/>
    <x v="107"/>
    <n v="750"/>
    <n v="7"/>
    <s v="Sep"/>
    <x v="0"/>
  </r>
  <r>
    <x v="128"/>
    <x v="11"/>
    <x v="7"/>
    <x v="2"/>
    <x v="0"/>
    <n v="0"/>
    <x v="11"/>
    <s v="Category05"/>
    <s v="Kg"/>
    <n v="76"/>
    <n v="76"/>
    <x v="146"/>
    <n v="304"/>
    <n v="9"/>
    <s v="Sep"/>
    <x v="0"/>
  </r>
  <r>
    <x v="129"/>
    <x v="28"/>
    <x v="2"/>
    <x v="2"/>
    <x v="0"/>
    <n v="0"/>
    <x v="28"/>
    <s v="Category04"/>
    <s v="Ft"/>
    <n v="148"/>
    <n v="148"/>
    <x v="147"/>
    <n v="888"/>
    <n v="10"/>
    <s v="Sep"/>
    <x v="0"/>
  </r>
  <r>
    <x v="129"/>
    <x v="16"/>
    <x v="0"/>
    <x v="0"/>
    <x v="0"/>
    <n v="0"/>
    <x v="16"/>
    <s v="Category01"/>
    <s v="Kg"/>
    <n v="98"/>
    <n v="98"/>
    <x v="148"/>
    <n v="882"/>
    <n v="10"/>
    <s v="Sep"/>
    <x v="0"/>
  </r>
  <r>
    <x v="129"/>
    <x v="42"/>
    <x v="13"/>
    <x v="2"/>
    <x v="0"/>
    <n v="0"/>
    <x v="42"/>
    <s v="Category04"/>
    <s v="No."/>
    <n v="18"/>
    <n v="18"/>
    <x v="90"/>
    <n v="36"/>
    <n v="10"/>
    <s v="Sep"/>
    <x v="0"/>
  </r>
  <r>
    <x v="130"/>
    <x v="16"/>
    <x v="2"/>
    <x v="0"/>
    <x v="0"/>
    <n v="0"/>
    <x v="16"/>
    <s v="Category01"/>
    <s v="Kg"/>
    <n v="98"/>
    <n v="98"/>
    <x v="149"/>
    <n v="588"/>
    <n v="11"/>
    <s v="Sep"/>
    <x v="0"/>
  </r>
  <r>
    <x v="131"/>
    <x v="41"/>
    <x v="11"/>
    <x v="2"/>
    <x v="1"/>
    <n v="0"/>
    <x v="41"/>
    <s v="Category05"/>
    <s v="Ft"/>
    <n v="138"/>
    <n v="138"/>
    <x v="150"/>
    <n v="966"/>
    <n v="13"/>
    <s v="Sep"/>
    <x v="0"/>
  </r>
  <r>
    <x v="132"/>
    <x v="10"/>
    <x v="2"/>
    <x v="2"/>
    <x v="0"/>
    <n v="0"/>
    <x v="10"/>
    <s v="Category05"/>
    <s v="Ft"/>
    <n v="120"/>
    <n v="120"/>
    <x v="18"/>
    <n v="720"/>
    <n v="15"/>
    <s v="Sep"/>
    <x v="0"/>
  </r>
  <r>
    <x v="132"/>
    <x v="10"/>
    <x v="12"/>
    <x v="2"/>
    <x v="0"/>
    <n v="0"/>
    <x v="10"/>
    <s v="Category05"/>
    <s v="Ft"/>
    <n v="120"/>
    <n v="120"/>
    <x v="151"/>
    <n v="1680"/>
    <n v="15"/>
    <s v="Sep"/>
    <x v="0"/>
  </r>
  <r>
    <x v="133"/>
    <x v="14"/>
    <x v="11"/>
    <x v="0"/>
    <x v="1"/>
    <n v="0"/>
    <x v="14"/>
    <s v="Category03"/>
    <s v="Lt"/>
    <n v="61"/>
    <n v="61"/>
    <x v="152"/>
    <n v="427"/>
    <n v="21"/>
    <s v="Sep"/>
    <x v="0"/>
  </r>
  <r>
    <x v="134"/>
    <x v="17"/>
    <x v="13"/>
    <x v="1"/>
    <x v="1"/>
    <n v="0"/>
    <x v="17"/>
    <s v="Category05"/>
    <s v="Kg"/>
    <n v="90"/>
    <n v="90"/>
    <x v="153"/>
    <n v="180"/>
    <n v="22"/>
    <s v="Sep"/>
    <x v="0"/>
  </r>
  <r>
    <x v="134"/>
    <x v="29"/>
    <x v="7"/>
    <x v="2"/>
    <x v="1"/>
    <n v="0"/>
    <x v="29"/>
    <s v="Category01"/>
    <s v="Kg"/>
    <n v="105"/>
    <n v="105"/>
    <x v="46"/>
    <n v="420"/>
    <n v="22"/>
    <s v="Sep"/>
    <x v="0"/>
  </r>
  <r>
    <x v="135"/>
    <x v="30"/>
    <x v="4"/>
    <x v="2"/>
    <x v="1"/>
    <n v="0"/>
    <x v="30"/>
    <s v="Category02"/>
    <s v="No."/>
    <n v="37"/>
    <n v="37"/>
    <x v="70"/>
    <n v="444"/>
    <n v="23"/>
    <s v="Sep"/>
    <x v="0"/>
  </r>
  <r>
    <x v="135"/>
    <x v="32"/>
    <x v="11"/>
    <x v="1"/>
    <x v="0"/>
    <n v="0"/>
    <x v="32"/>
    <s v="Category03"/>
    <s v="Ft"/>
    <n v="126"/>
    <n v="126"/>
    <x v="148"/>
    <n v="882"/>
    <n v="23"/>
    <s v="Sep"/>
    <x v="0"/>
  </r>
  <r>
    <x v="136"/>
    <x v="13"/>
    <x v="5"/>
    <x v="2"/>
    <x v="1"/>
    <n v="0"/>
    <x v="13"/>
    <s v="Category04"/>
    <s v="Lt"/>
    <n v="55"/>
    <n v="55"/>
    <x v="141"/>
    <n v="55"/>
    <n v="27"/>
    <s v="Sep"/>
    <x v="0"/>
  </r>
  <r>
    <x v="137"/>
    <x v="9"/>
    <x v="0"/>
    <x v="1"/>
    <x v="0"/>
    <n v="0"/>
    <x v="9"/>
    <s v="Category02"/>
    <s v="Kg"/>
    <n v="112"/>
    <n v="112"/>
    <x v="154"/>
    <n v="1008"/>
    <n v="30"/>
    <s v="Sep"/>
    <x v="0"/>
  </r>
  <r>
    <x v="137"/>
    <x v="15"/>
    <x v="3"/>
    <x v="1"/>
    <x v="0"/>
    <n v="0"/>
    <x v="15"/>
    <s v="Category01"/>
    <s v="Kg"/>
    <n v="75"/>
    <n v="75"/>
    <x v="155"/>
    <n v="375"/>
    <n v="30"/>
    <s v="Sep"/>
    <x v="0"/>
  </r>
  <r>
    <x v="138"/>
    <x v="28"/>
    <x v="12"/>
    <x v="1"/>
    <x v="1"/>
    <n v="0"/>
    <x v="28"/>
    <s v="Category04"/>
    <s v="Ft"/>
    <n v="148"/>
    <n v="148"/>
    <x v="156"/>
    <n v="2072"/>
    <n v="1"/>
    <s v="Oct"/>
    <x v="0"/>
  </r>
  <r>
    <x v="139"/>
    <x v="9"/>
    <x v="1"/>
    <x v="2"/>
    <x v="0"/>
    <n v="0"/>
    <x v="9"/>
    <s v="Category02"/>
    <s v="Kg"/>
    <n v="112"/>
    <n v="112"/>
    <x v="151"/>
    <n v="1680"/>
    <n v="2"/>
    <s v="Oct"/>
    <x v="0"/>
  </r>
  <r>
    <x v="140"/>
    <x v="40"/>
    <x v="0"/>
    <x v="2"/>
    <x v="0"/>
    <n v="0"/>
    <x v="40"/>
    <s v="Category02"/>
    <s v="Ft"/>
    <n v="150"/>
    <n v="150"/>
    <x v="157"/>
    <n v="1350"/>
    <n v="3"/>
    <s v="Oct"/>
    <x v="0"/>
  </r>
  <r>
    <x v="141"/>
    <x v="4"/>
    <x v="5"/>
    <x v="2"/>
    <x v="0"/>
    <n v="0"/>
    <x v="4"/>
    <s v="Category04"/>
    <s v="No."/>
    <n v="5"/>
    <n v="5"/>
    <x v="36"/>
    <n v="5"/>
    <n v="6"/>
    <s v="Oct"/>
    <x v="0"/>
  </r>
  <r>
    <x v="141"/>
    <x v="43"/>
    <x v="4"/>
    <x v="1"/>
    <x v="0"/>
    <n v="0"/>
    <x v="43"/>
    <s v="Category04"/>
    <s v="Kg"/>
    <n v="90"/>
    <n v="90"/>
    <x v="1"/>
    <n v="1080"/>
    <n v="6"/>
    <s v="Oct"/>
    <x v="0"/>
  </r>
  <r>
    <x v="142"/>
    <x v="42"/>
    <x v="2"/>
    <x v="2"/>
    <x v="1"/>
    <n v="0"/>
    <x v="42"/>
    <s v="Category04"/>
    <s v="No."/>
    <n v="18"/>
    <n v="18"/>
    <x v="158"/>
    <n v="108"/>
    <n v="7"/>
    <s v="Oct"/>
    <x v="0"/>
  </r>
  <r>
    <x v="143"/>
    <x v="1"/>
    <x v="3"/>
    <x v="2"/>
    <x v="1"/>
    <n v="0"/>
    <x v="1"/>
    <s v="Category05"/>
    <s v="Kg"/>
    <n v="72"/>
    <n v="72"/>
    <x v="72"/>
    <n v="360"/>
    <n v="9"/>
    <s v="Oct"/>
    <x v="0"/>
  </r>
  <r>
    <x v="143"/>
    <x v="18"/>
    <x v="14"/>
    <x v="1"/>
    <x v="1"/>
    <n v="0"/>
    <x v="18"/>
    <s v="Category04"/>
    <s v="Kg"/>
    <n v="89"/>
    <n v="89"/>
    <x v="47"/>
    <n v="979"/>
    <n v="9"/>
    <s v="Oct"/>
    <x v="0"/>
  </r>
  <r>
    <x v="144"/>
    <x v="4"/>
    <x v="12"/>
    <x v="2"/>
    <x v="1"/>
    <n v="0"/>
    <x v="4"/>
    <s v="Category04"/>
    <s v="No."/>
    <n v="5"/>
    <n v="5"/>
    <x v="106"/>
    <n v="70"/>
    <n v="10"/>
    <s v="Oct"/>
    <x v="0"/>
  </r>
  <r>
    <x v="145"/>
    <x v="31"/>
    <x v="1"/>
    <x v="2"/>
    <x v="1"/>
    <n v="0"/>
    <x v="31"/>
    <s v="Category02"/>
    <s v="Lt"/>
    <n v="44"/>
    <n v="44"/>
    <x v="16"/>
    <n v="660"/>
    <n v="11"/>
    <s v="Oct"/>
    <x v="0"/>
  </r>
  <r>
    <x v="146"/>
    <x v="26"/>
    <x v="6"/>
    <x v="1"/>
    <x v="0"/>
    <n v="0"/>
    <x v="26"/>
    <s v="Category04"/>
    <s v="Lt"/>
    <n v="48"/>
    <n v="48"/>
    <x v="159"/>
    <n v="384"/>
    <n v="12"/>
    <s v="Oct"/>
    <x v="0"/>
  </r>
  <r>
    <x v="147"/>
    <x v="16"/>
    <x v="10"/>
    <x v="2"/>
    <x v="0"/>
    <n v="0"/>
    <x v="16"/>
    <s v="Category01"/>
    <s v="Kg"/>
    <n v="98"/>
    <n v="98"/>
    <x v="160"/>
    <n v="1274"/>
    <n v="17"/>
    <s v="Oct"/>
    <x v="0"/>
  </r>
  <r>
    <x v="148"/>
    <x v="7"/>
    <x v="2"/>
    <x v="1"/>
    <x v="1"/>
    <n v="0"/>
    <x v="7"/>
    <s v="Category03"/>
    <s v="No."/>
    <n v="7"/>
    <n v="7"/>
    <x v="113"/>
    <n v="42"/>
    <n v="18"/>
    <s v="Oct"/>
    <x v="0"/>
  </r>
  <r>
    <x v="148"/>
    <x v="32"/>
    <x v="10"/>
    <x v="1"/>
    <x v="1"/>
    <n v="0"/>
    <x v="32"/>
    <s v="Category03"/>
    <s v="Ft"/>
    <n v="126"/>
    <n v="126"/>
    <x v="161"/>
    <n v="1638"/>
    <n v="18"/>
    <s v="Oct"/>
    <x v="0"/>
  </r>
  <r>
    <x v="149"/>
    <x v="31"/>
    <x v="11"/>
    <x v="2"/>
    <x v="1"/>
    <n v="0"/>
    <x v="31"/>
    <s v="Category02"/>
    <s v="Lt"/>
    <n v="44"/>
    <n v="44"/>
    <x v="162"/>
    <n v="308"/>
    <n v="22"/>
    <s v="Oct"/>
    <x v="0"/>
  </r>
  <r>
    <x v="149"/>
    <x v="0"/>
    <x v="10"/>
    <x v="1"/>
    <x v="1"/>
    <n v="0"/>
    <x v="0"/>
    <s v="Category03"/>
    <s v="Ft"/>
    <n v="144"/>
    <n v="144"/>
    <x v="163"/>
    <n v="1872"/>
    <n v="22"/>
    <s v="Oct"/>
    <x v="0"/>
  </r>
  <r>
    <x v="149"/>
    <x v="37"/>
    <x v="5"/>
    <x v="2"/>
    <x v="1"/>
    <n v="0"/>
    <x v="37"/>
    <s v="Category01"/>
    <s v="No."/>
    <n v="6"/>
    <n v="6"/>
    <x v="164"/>
    <n v="6"/>
    <n v="22"/>
    <s v="Oct"/>
    <x v="0"/>
  </r>
  <r>
    <x v="150"/>
    <x v="31"/>
    <x v="8"/>
    <x v="0"/>
    <x v="1"/>
    <n v="0"/>
    <x v="31"/>
    <s v="Category02"/>
    <s v="Lt"/>
    <n v="44"/>
    <n v="44"/>
    <x v="165"/>
    <n v="132"/>
    <n v="24"/>
    <s v="Oct"/>
    <x v="0"/>
  </r>
  <r>
    <x v="151"/>
    <x v="11"/>
    <x v="0"/>
    <x v="1"/>
    <x v="1"/>
    <n v="0"/>
    <x v="11"/>
    <s v="Category05"/>
    <s v="Kg"/>
    <n v="76"/>
    <n v="76"/>
    <x v="22"/>
    <n v="684"/>
    <n v="25"/>
    <s v="Oct"/>
    <x v="0"/>
  </r>
  <r>
    <x v="152"/>
    <x v="3"/>
    <x v="2"/>
    <x v="0"/>
    <x v="1"/>
    <n v="0"/>
    <x v="3"/>
    <s v="Category01"/>
    <s v="Lt"/>
    <n v="44"/>
    <n v="44"/>
    <x v="166"/>
    <n v="264"/>
    <n v="26"/>
    <s v="Oct"/>
    <x v="0"/>
  </r>
  <r>
    <x v="153"/>
    <x v="25"/>
    <x v="5"/>
    <x v="2"/>
    <x v="1"/>
    <n v="0"/>
    <x v="25"/>
    <s v="Category01"/>
    <s v="Kg"/>
    <n v="83"/>
    <n v="83"/>
    <x v="167"/>
    <n v="83"/>
    <n v="28"/>
    <s v="Oct"/>
    <x v="0"/>
  </r>
  <r>
    <x v="154"/>
    <x v="1"/>
    <x v="12"/>
    <x v="1"/>
    <x v="0"/>
    <n v="0"/>
    <x v="1"/>
    <s v="Category05"/>
    <s v="Kg"/>
    <n v="72"/>
    <n v="72"/>
    <x v="154"/>
    <n v="1008"/>
    <n v="29"/>
    <s v="Oct"/>
    <x v="0"/>
  </r>
  <r>
    <x v="155"/>
    <x v="32"/>
    <x v="2"/>
    <x v="1"/>
    <x v="1"/>
    <n v="0"/>
    <x v="32"/>
    <s v="Category03"/>
    <s v="Ft"/>
    <n v="126"/>
    <n v="126"/>
    <x v="168"/>
    <n v="756"/>
    <n v="31"/>
    <s v="Oct"/>
    <x v="0"/>
  </r>
  <r>
    <x v="156"/>
    <x v="2"/>
    <x v="4"/>
    <x v="2"/>
    <x v="1"/>
    <n v="0"/>
    <x v="2"/>
    <s v="Category02"/>
    <s v="Kg"/>
    <n v="112"/>
    <n v="112"/>
    <x v="169"/>
    <n v="1344"/>
    <n v="3"/>
    <s v="Nov"/>
    <x v="0"/>
  </r>
  <r>
    <x v="157"/>
    <x v="43"/>
    <x v="9"/>
    <x v="2"/>
    <x v="0"/>
    <n v="0"/>
    <x v="43"/>
    <s v="Category04"/>
    <s v="Kg"/>
    <n v="90"/>
    <n v="90"/>
    <x v="170"/>
    <n v="900"/>
    <n v="6"/>
    <s v="Nov"/>
    <x v="0"/>
  </r>
  <r>
    <x v="158"/>
    <x v="36"/>
    <x v="1"/>
    <x v="2"/>
    <x v="0"/>
    <n v="0"/>
    <x v="36"/>
    <s v="Category01"/>
    <s v="Lt"/>
    <n v="43"/>
    <n v="43"/>
    <x v="171"/>
    <n v="645"/>
    <n v="8"/>
    <s v="Nov"/>
    <x v="0"/>
  </r>
  <r>
    <x v="159"/>
    <x v="10"/>
    <x v="2"/>
    <x v="1"/>
    <x v="1"/>
    <n v="0"/>
    <x v="10"/>
    <s v="Category05"/>
    <s v="Ft"/>
    <n v="120"/>
    <n v="120"/>
    <x v="18"/>
    <n v="720"/>
    <n v="10"/>
    <s v="Nov"/>
    <x v="0"/>
  </r>
  <r>
    <x v="160"/>
    <x v="17"/>
    <x v="4"/>
    <x v="0"/>
    <x v="0"/>
    <n v="0"/>
    <x v="17"/>
    <s v="Category05"/>
    <s v="Kg"/>
    <n v="90"/>
    <n v="90"/>
    <x v="1"/>
    <n v="1080"/>
    <n v="11"/>
    <s v="Nov"/>
    <x v="0"/>
  </r>
  <r>
    <x v="161"/>
    <x v="20"/>
    <x v="8"/>
    <x v="1"/>
    <x v="1"/>
    <n v="0"/>
    <x v="20"/>
    <s v="Category02"/>
    <s v="Ft"/>
    <n v="148"/>
    <n v="148"/>
    <x v="70"/>
    <n v="444"/>
    <n v="12"/>
    <s v="Nov"/>
    <x v="0"/>
  </r>
  <r>
    <x v="162"/>
    <x v="13"/>
    <x v="12"/>
    <x v="1"/>
    <x v="0"/>
    <n v="0"/>
    <x v="13"/>
    <s v="Category04"/>
    <s v="Lt"/>
    <n v="55"/>
    <n v="55"/>
    <x v="37"/>
    <n v="770"/>
    <n v="20"/>
    <s v="Nov"/>
    <x v="0"/>
  </r>
  <r>
    <x v="162"/>
    <x v="25"/>
    <x v="14"/>
    <x v="1"/>
    <x v="1"/>
    <n v="0"/>
    <x v="25"/>
    <s v="Category01"/>
    <s v="Kg"/>
    <n v="83"/>
    <n v="83"/>
    <x v="172"/>
    <n v="913"/>
    <n v="20"/>
    <s v="Nov"/>
    <x v="0"/>
  </r>
  <r>
    <x v="163"/>
    <x v="9"/>
    <x v="5"/>
    <x v="0"/>
    <x v="0"/>
    <n v="0"/>
    <x v="9"/>
    <s v="Category02"/>
    <s v="Kg"/>
    <n v="112"/>
    <n v="112"/>
    <x v="173"/>
    <n v="112"/>
    <n v="21"/>
    <s v="Nov"/>
    <x v="0"/>
  </r>
  <r>
    <x v="163"/>
    <x v="15"/>
    <x v="5"/>
    <x v="1"/>
    <x v="1"/>
    <n v="0"/>
    <x v="15"/>
    <s v="Category01"/>
    <s v="Kg"/>
    <n v="75"/>
    <n v="75"/>
    <x v="93"/>
    <n v="75"/>
    <n v="21"/>
    <s v="Nov"/>
    <x v="0"/>
  </r>
  <r>
    <x v="164"/>
    <x v="35"/>
    <x v="6"/>
    <x v="1"/>
    <x v="0"/>
    <n v="0"/>
    <x v="35"/>
    <s v="Category02"/>
    <s v="Kg"/>
    <n v="73"/>
    <n v="73"/>
    <x v="174"/>
    <n v="584"/>
    <n v="27"/>
    <s v="Nov"/>
    <x v="0"/>
  </r>
  <r>
    <x v="165"/>
    <x v="17"/>
    <x v="13"/>
    <x v="2"/>
    <x v="1"/>
    <n v="0"/>
    <x v="17"/>
    <s v="Category05"/>
    <s v="Kg"/>
    <n v="90"/>
    <n v="90"/>
    <x v="153"/>
    <n v="180"/>
    <n v="28"/>
    <s v="Nov"/>
    <x v="0"/>
  </r>
  <r>
    <x v="166"/>
    <x v="34"/>
    <x v="1"/>
    <x v="2"/>
    <x v="0"/>
    <n v="0"/>
    <x v="34"/>
    <s v="Category05"/>
    <s v="No."/>
    <n v="37"/>
    <n v="37"/>
    <x v="81"/>
    <n v="555"/>
    <n v="30"/>
    <s v="Nov"/>
    <x v="0"/>
  </r>
  <r>
    <x v="167"/>
    <x v="21"/>
    <x v="9"/>
    <x v="2"/>
    <x v="1"/>
    <n v="0"/>
    <x v="21"/>
    <s v="Category02"/>
    <s v="No."/>
    <n v="13"/>
    <n v="13"/>
    <x v="175"/>
    <n v="130"/>
    <n v="2"/>
    <s v="Dec"/>
    <x v="0"/>
  </r>
  <r>
    <x v="168"/>
    <x v="13"/>
    <x v="13"/>
    <x v="1"/>
    <x v="1"/>
    <n v="0"/>
    <x v="13"/>
    <s v="Category04"/>
    <s v="Lt"/>
    <n v="55"/>
    <n v="55"/>
    <x v="176"/>
    <n v="110"/>
    <n v="3"/>
    <s v="Dec"/>
    <x v="0"/>
  </r>
  <r>
    <x v="168"/>
    <x v="40"/>
    <x v="6"/>
    <x v="1"/>
    <x v="0"/>
    <n v="0"/>
    <x v="40"/>
    <s v="Category02"/>
    <s v="Ft"/>
    <n v="150"/>
    <n v="150"/>
    <x v="11"/>
    <n v="1200"/>
    <n v="3"/>
    <s v="Dec"/>
    <x v="0"/>
  </r>
  <r>
    <x v="169"/>
    <x v="3"/>
    <x v="1"/>
    <x v="2"/>
    <x v="1"/>
    <n v="0"/>
    <x v="3"/>
    <s v="Category01"/>
    <s v="Lt"/>
    <n v="44"/>
    <n v="44"/>
    <x v="16"/>
    <n v="660"/>
    <n v="5"/>
    <s v="Dec"/>
    <x v="0"/>
  </r>
  <r>
    <x v="169"/>
    <x v="20"/>
    <x v="5"/>
    <x v="2"/>
    <x v="0"/>
    <n v="0"/>
    <x v="20"/>
    <s v="Category02"/>
    <s v="Ft"/>
    <n v="148"/>
    <n v="148"/>
    <x v="138"/>
    <n v="148"/>
    <n v="5"/>
    <s v="Dec"/>
    <x v="0"/>
  </r>
  <r>
    <x v="170"/>
    <x v="2"/>
    <x v="6"/>
    <x v="2"/>
    <x v="0"/>
    <n v="0"/>
    <x v="2"/>
    <s v="Category02"/>
    <s v="Kg"/>
    <n v="112"/>
    <n v="112"/>
    <x v="177"/>
    <n v="896"/>
    <n v="7"/>
    <s v="Dec"/>
    <x v="0"/>
  </r>
  <r>
    <x v="171"/>
    <x v="11"/>
    <x v="12"/>
    <x v="2"/>
    <x v="0"/>
    <n v="0"/>
    <x v="11"/>
    <s v="Category05"/>
    <s v="Kg"/>
    <n v="76"/>
    <n v="76"/>
    <x v="178"/>
    <n v="1064"/>
    <n v="8"/>
    <s v="Dec"/>
    <x v="0"/>
  </r>
  <r>
    <x v="172"/>
    <x v="10"/>
    <x v="7"/>
    <x v="2"/>
    <x v="0"/>
    <n v="0"/>
    <x v="10"/>
    <s v="Category05"/>
    <s v="Ft"/>
    <n v="120"/>
    <n v="120"/>
    <x v="10"/>
    <n v="480"/>
    <n v="14"/>
    <s v="Dec"/>
    <x v="0"/>
  </r>
  <r>
    <x v="173"/>
    <x v="6"/>
    <x v="13"/>
    <x v="2"/>
    <x v="1"/>
    <n v="0"/>
    <x v="6"/>
    <s v="Category01"/>
    <s v="Kg"/>
    <n v="71"/>
    <n v="71"/>
    <x v="179"/>
    <n v="142"/>
    <n v="18"/>
    <s v="Dec"/>
    <x v="0"/>
  </r>
  <r>
    <x v="173"/>
    <x v="22"/>
    <x v="6"/>
    <x v="1"/>
    <x v="1"/>
    <n v="0"/>
    <x v="22"/>
    <s v="Category03"/>
    <s v="Ft"/>
    <n v="121"/>
    <n v="121"/>
    <x v="180"/>
    <n v="968"/>
    <n v="18"/>
    <s v="Dec"/>
    <x v="0"/>
  </r>
  <r>
    <x v="174"/>
    <x v="12"/>
    <x v="4"/>
    <x v="2"/>
    <x v="0"/>
    <n v="0"/>
    <x v="12"/>
    <s v="Category03"/>
    <s v="Ft"/>
    <n v="141"/>
    <n v="141"/>
    <x v="181"/>
    <n v="1692"/>
    <n v="19"/>
    <s v="Dec"/>
    <x v="0"/>
  </r>
  <r>
    <x v="174"/>
    <x v="19"/>
    <x v="8"/>
    <x v="0"/>
    <x v="0"/>
    <n v="0"/>
    <x v="19"/>
    <s v="Category04"/>
    <s v="Lt"/>
    <n v="47"/>
    <n v="47"/>
    <x v="182"/>
    <n v="141"/>
    <n v="19"/>
    <s v="Dec"/>
    <x v="0"/>
  </r>
  <r>
    <x v="174"/>
    <x v="31"/>
    <x v="9"/>
    <x v="1"/>
    <x v="0"/>
    <n v="0"/>
    <x v="31"/>
    <s v="Category02"/>
    <s v="Lt"/>
    <n v="44"/>
    <n v="44"/>
    <x v="27"/>
    <n v="440"/>
    <n v="19"/>
    <s v="Dec"/>
    <x v="0"/>
  </r>
  <r>
    <x v="175"/>
    <x v="35"/>
    <x v="12"/>
    <x v="2"/>
    <x v="0"/>
    <n v="0"/>
    <x v="35"/>
    <s v="Category02"/>
    <s v="Kg"/>
    <n v="73"/>
    <n v="73"/>
    <x v="56"/>
    <n v="1022"/>
    <n v="20"/>
    <s v="Dec"/>
    <x v="0"/>
  </r>
  <r>
    <x v="176"/>
    <x v="42"/>
    <x v="9"/>
    <x v="1"/>
    <x v="1"/>
    <n v="0"/>
    <x v="42"/>
    <s v="Category04"/>
    <s v="No."/>
    <n v="18"/>
    <n v="18"/>
    <x v="153"/>
    <n v="180"/>
    <n v="21"/>
    <s v="Dec"/>
    <x v="0"/>
  </r>
  <r>
    <x v="177"/>
    <x v="10"/>
    <x v="6"/>
    <x v="0"/>
    <x v="1"/>
    <n v="0"/>
    <x v="10"/>
    <s v="Category05"/>
    <s v="Ft"/>
    <n v="120"/>
    <n v="120"/>
    <x v="57"/>
    <n v="960"/>
    <n v="24"/>
    <s v="Dec"/>
    <x v="0"/>
  </r>
  <r>
    <x v="177"/>
    <x v="43"/>
    <x v="6"/>
    <x v="0"/>
    <x v="0"/>
    <n v="0"/>
    <x v="43"/>
    <s v="Category04"/>
    <s v="Kg"/>
    <n v="90"/>
    <n v="90"/>
    <x v="18"/>
    <n v="720"/>
    <n v="24"/>
    <s v="Dec"/>
    <x v="0"/>
  </r>
  <r>
    <x v="178"/>
    <x v="41"/>
    <x v="12"/>
    <x v="1"/>
    <x v="1"/>
    <n v="0"/>
    <x v="41"/>
    <s v="Category05"/>
    <s v="Ft"/>
    <n v="138"/>
    <n v="138"/>
    <x v="183"/>
    <n v="1932"/>
    <n v="26"/>
    <s v="Dec"/>
    <x v="0"/>
  </r>
  <r>
    <x v="179"/>
    <x v="19"/>
    <x v="12"/>
    <x v="2"/>
    <x v="1"/>
    <n v="0"/>
    <x v="19"/>
    <s v="Category04"/>
    <s v="Lt"/>
    <n v="47"/>
    <n v="47"/>
    <x v="184"/>
    <n v="658"/>
    <n v="27"/>
    <s v="Dec"/>
    <x v="0"/>
  </r>
  <r>
    <x v="180"/>
    <x v="19"/>
    <x v="2"/>
    <x v="2"/>
    <x v="1"/>
    <n v="0"/>
    <x v="19"/>
    <s v="Category04"/>
    <s v="Lt"/>
    <n v="47"/>
    <n v="47"/>
    <x v="53"/>
    <n v="282"/>
    <n v="28"/>
    <s v="Dec"/>
    <x v="0"/>
  </r>
  <r>
    <x v="181"/>
    <x v="20"/>
    <x v="10"/>
    <x v="1"/>
    <x v="0"/>
    <n v="0"/>
    <x v="20"/>
    <s v="Category02"/>
    <s v="Ft"/>
    <n v="148"/>
    <n v="148"/>
    <x v="185"/>
    <n v="1924"/>
    <n v="30"/>
    <s v="Dec"/>
    <x v="0"/>
  </r>
  <r>
    <x v="182"/>
    <x v="22"/>
    <x v="5"/>
    <x v="0"/>
    <x v="1"/>
    <n v="0"/>
    <x v="22"/>
    <s v="Category03"/>
    <s v="Ft"/>
    <n v="121"/>
    <n v="121"/>
    <x v="186"/>
    <n v="121"/>
    <n v="1"/>
    <s v="Jan"/>
    <x v="1"/>
  </r>
  <r>
    <x v="183"/>
    <x v="20"/>
    <x v="11"/>
    <x v="2"/>
    <x v="1"/>
    <n v="0"/>
    <x v="20"/>
    <s v="Category02"/>
    <s v="Ft"/>
    <n v="148"/>
    <n v="148"/>
    <x v="29"/>
    <n v="1036"/>
    <n v="2"/>
    <s v="Jan"/>
    <x v="1"/>
  </r>
  <r>
    <x v="183"/>
    <x v="27"/>
    <x v="13"/>
    <x v="1"/>
    <x v="1"/>
    <n v="0"/>
    <x v="27"/>
    <s v="Category02"/>
    <s v="No."/>
    <n v="12"/>
    <n v="12"/>
    <x v="118"/>
    <n v="24"/>
    <n v="2"/>
    <s v="Jan"/>
    <x v="1"/>
  </r>
  <r>
    <x v="183"/>
    <x v="38"/>
    <x v="5"/>
    <x v="2"/>
    <x v="1"/>
    <n v="0"/>
    <x v="38"/>
    <s v="Category04"/>
    <s v="Kg"/>
    <n v="95"/>
    <n v="95"/>
    <x v="187"/>
    <n v="95"/>
    <n v="2"/>
    <s v="Jan"/>
    <x v="1"/>
  </r>
  <r>
    <x v="184"/>
    <x v="23"/>
    <x v="0"/>
    <x v="2"/>
    <x v="1"/>
    <n v="0"/>
    <x v="23"/>
    <s v="Category05"/>
    <s v="Kg"/>
    <n v="67"/>
    <n v="67"/>
    <x v="35"/>
    <n v="603"/>
    <n v="3"/>
    <s v="Jan"/>
    <x v="1"/>
  </r>
  <r>
    <x v="185"/>
    <x v="35"/>
    <x v="6"/>
    <x v="2"/>
    <x v="0"/>
    <n v="0"/>
    <x v="35"/>
    <s v="Category02"/>
    <s v="Kg"/>
    <n v="73"/>
    <n v="73"/>
    <x v="174"/>
    <n v="584"/>
    <n v="4"/>
    <s v="Jan"/>
    <x v="1"/>
  </r>
  <r>
    <x v="185"/>
    <x v="19"/>
    <x v="5"/>
    <x v="1"/>
    <x v="0"/>
    <n v="0"/>
    <x v="19"/>
    <s v="Category04"/>
    <s v="Lt"/>
    <n v="47"/>
    <n v="47"/>
    <x v="84"/>
    <n v="47"/>
    <n v="4"/>
    <s v="Jan"/>
    <x v="1"/>
  </r>
  <r>
    <x v="186"/>
    <x v="18"/>
    <x v="4"/>
    <x v="2"/>
    <x v="0"/>
    <n v="0"/>
    <x v="18"/>
    <s v="Category04"/>
    <s v="Kg"/>
    <n v="89"/>
    <n v="89"/>
    <x v="104"/>
    <n v="1068"/>
    <n v="9"/>
    <s v="Jan"/>
    <x v="1"/>
  </r>
  <r>
    <x v="187"/>
    <x v="13"/>
    <x v="12"/>
    <x v="1"/>
    <x v="0"/>
    <n v="0"/>
    <x v="13"/>
    <s v="Category04"/>
    <s v="Lt"/>
    <n v="55"/>
    <n v="55"/>
    <x v="37"/>
    <n v="770"/>
    <n v="10"/>
    <s v="Jan"/>
    <x v="1"/>
  </r>
  <r>
    <x v="188"/>
    <x v="18"/>
    <x v="13"/>
    <x v="2"/>
    <x v="0"/>
    <n v="0"/>
    <x v="18"/>
    <s v="Category04"/>
    <s v="Kg"/>
    <n v="89"/>
    <n v="89"/>
    <x v="188"/>
    <n v="178"/>
    <n v="11"/>
    <s v="Jan"/>
    <x v="1"/>
  </r>
  <r>
    <x v="189"/>
    <x v="40"/>
    <x v="2"/>
    <x v="1"/>
    <x v="0"/>
    <n v="0"/>
    <x v="40"/>
    <s v="Category02"/>
    <s v="Ft"/>
    <n v="150"/>
    <n v="150"/>
    <x v="170"/>
    <n v="900"/>
    <n v="13"/>
    <s v="Jan"/>
    <x v="1"/>
  </r>
  <r>
    <x v="190"/>
    <x v="31"/>
    <x v="12"/>
    <x v="2"/>
    <x v="0"/>
    <n v="0"/>
    <x v="31"/>
    <s v="Category02"/>
    <s v="Lt"/>
    <n v="44"/>
    <n v="44"/>
    <x v="189"/>
    <n v="616"/>
    <n v="14"/>
    <s v="Jan"/>
    <x v="1"/>
  </r>
  <r>
    <x v="191"/>
    <x v="22"/>
    <x v="9"/>
    <x v="2"/>
    <x v="1"/>
    <n v="0"/>
    <x v="22"/>
    <s v="Category03"/>
    <s v="Ft"/>
    <n v="121"/>
    <n v="121"/>
    <x v="190"/>
    <n v="1210"/>
    <n v="15"/>
    <s v="Jan"/>
    <x v="1"/>
  </r>
  <r>
    <x v="192"/>
    <x v="9"/>
    <x v="14"/>
    <x v="1"/>
    <x v="1"/>
    <n v="0"/>
    <x v="9"/>
    <s v="Category02"/>
    <s v="Kg"/>
    <n v="112"/>
    <n v="112"/>
    <x v="191"/>
    <n v="1232"/>
    <n v="16"/>
    <s v="Jan"/>
    <x v="1"/>
  </r>
  <r>
    <x v="193"/>
    <x v="17"/>
    <x v="7"/>
    <x v="1"/>
    <x v="0"/>
    <n v="0"/>
    <x v="17"/>
    <s v="Category05"/>
    <s v="Kg"/>
    <n v="90"/>
    <n v="90"/>
    <x v="72"/>
    <n v="360"/>
    <n v="17"/>
    <s v="Jan"/>
    <x v="1"/>
  </r>
  <r>
    <x v="194"/>
    <x v="25"/>
    <x v="0"/>
    <x v="0"/>
    <x v="1"/>
    <n v="0"/>
    <x v="25"/>
    <s v="Category01"/>
    <s v="Kg"/>
    <n v="83"/>
    <n v="83"/>
    <x v="192"/>
    <n v="747"/>
    <n v="18"/>
    <s v="Jan"/>
    <x v="1"/>
  </r>
  <r>
    <x v="195"/>
    <x v="32"/>
    <x v="13"/>
    <x v="2"/>
    <x v="1"/>
    <n v="0"/>
    <x v="32"/>
    <s v="Category03"/>
    <s v="Ft"/>
    <n v="126"/>
    <n v="126"/>
    <x v="115"/>
    <n v="252"/>
    <n v="20"/>
    <s v="Jan"/>
    <x v="1"/>
  </r>
  <r>
    <x v="195"/>
    <x v="9"/>
    <x v="11"/>
    <x v="1"/>
    <x v="0"/>
    <n v="0"/>
    <x v="9"/>
    <s v="Category02"/>
    <s v="Kg"/>
    <n v="112"/>
    <n v="112"/>
    <x v="193"/>
    <n v="784"/>
    <n v="20"/>
    <s v="Jan"/>
    <x v="1"/>
  </r>
  <r>
    <x v="196"/>
    <x v="16"/>
    <x v="2"/>
    <x v="1"/>
    <x v="1"/>
    <n v="0"/>
    <x v="16"/>
    <s v="Category01"/>
    <s v="Kg"/>
    <n v="98"/>
    <n v="98"/>
    <x v="149"/>
    <n v="588"/>
    <n v="22"/>
    <s v="Jan"/>
    <x v="1"/>
  </r>
  <r>
    <x v="197"/>
    <x v="29"/>
    <x v="3"/>
    <x v="0"/>
    <x v="1"/>
    <n v="0"/>
    <x v="29"/>
    <s v="Category01"/>
    <s v="Kg"/>
    <n v="105"/>
    <n v="105"/>
    <x v="23"/>
    <n v="525"/>
    <n v="23"/>
    <s v="Jan"/>
    <x v="1"/>
  </r>
  <r>
    <x v="197"/>
    <x v="10"/>
    <x v="6"/>
    <x v="2"/>
    <x v="0"/>
    <n v="0"/>
    <x v="10"/>
    <s v="Category05"/>
    <s v="Ft"/>
    <n v="120"/>
    <n v="120"/>
    <x v="57"/>
    <n v="960"/>
    <n v="23"/>
    <s v="Jan"/>
    <x v="1"/>
  </r>
  <r>
    <x v="198"/>
    <x v="28"/>
    <x v="1"/>
    <x v="1"/>
    <x v="0"/>
    <n v="0"/>
    <x v="28"/>
    <s v="Category04"/>
    <s v="Ft"/>
    <n v="148"/>
    <n v="148"/>
    <x v="194"/>
    <n v="2220"/>
    <n v="24"/>
    <s v="Jan"/>
    <x v="1"/>
  </r>
  <r>
    <x v="199"/>
    <x v="39"/>
    <x v="12"/>
    <x v="2"/>
    <x v="1"/>
    <n v="0"/>
    <x v="39"/>
    <s v="Category02"/>
    <s v="Ft"/>
    <n v="134"/>
    <n v="134"/>
    <x v="195"/>
    <n v="1876"/>
    <n v="25"/>
    <s v="Jan"/>
    <x v="1"/>
  </r>
  <r>
    <x v="200"/>
    <x v="21"/>
    <x v="14"/>
    <x v="2"/>
    <x v="0"/>
    <n v="0"/>
    <x v="21"/>
    <s v="Category02"/>
    <s v="No."/>
    <n v="13"/>
    <n v="13"/>
    <x v="196"/>
    <n v="143"/>
    <n v="28"/>
    <s v="Jan"/>
    <x v="1"/>
  </r>
  <r>
    <x v="201"/>
    <x v="12"/>
    <x v="2"/>
    <x v="1"/>
    <x v="1"/>
    <n v="0"/>
    <x v="12"/>
    <s v="Category03"/>
    <s v="Ft"/>
    <n v="141"/>
    <n v="141"/>
    <x v="197"/>
    <n v="846"/>
    <n v="31"/>
    <s v="Jan"/>
    <x v="1"/>
  </r>
  <r>
    <x v="201"/>
    <x v="41"/>
    <x v="0"/>
    <x v="2"/>
    <x v="1"/>
    <n v="0"/>
    <x v="41"/>
    <s v="Category05"/>
    <s v="Ft"/>
    <n v="138"/>
    <n v="138"/>
    <x v="198"/>
    <n v="1242"/>
    <n v="31"/>
    <s v="Jan"/>
    <x v="1"/>
  </r>
  <r>
    <x v="202"/>
    <x v="24"/>
    <x v="0"/>
    <x v="2"/>
    <x v="1"/>
    <n v="0"/>
    <x v="24"/>
    <s v="Category01"/>
    <s v="Ft"/>
    <n v="133"/>
    <n v="133"/>
    <x v="199"/>
    <n v="1197"/>
    <n v="1"/>
    <s v="Feb"/>
    <x v="1"/>
  </r>
  <r>
    <x v="203"/>
    <x v="9"/>
    <x v="6"/>
    <x v="2"/>
    <x v="0"/>
    <n v="0"/>
    <x v="9"/>
    <s v="Category02"/>
    <s v="Kg"/>
    <n v="112"/>
    <n v="112"/>
    <x v="177"/>
    <n v="896"/>
    <n v="3"/>
    <s v="Feb"/>
    <x v="1"/>
  </r>
  <r>
    <x v="204"/>
    <x v="30"/>
    <x v="2"/>
    <x v="2"/>
    <x v="1"/>
    <n v="0"/>
    <x v="30"/>
    <s v="Category02"/>
    <s v="No."/>
    <n v="37"/>
    <n v="37"/>
    <x v="200"/>
    <n v="222"/>
    <n v="5"/>
    <s v="Feb"/>
    <x v="1"/>
  </r>
  <r>
    <x v="205"/>
    <x v="29"/>
    <x v="2"/>
    <x v="2"/>
    <x v="1"/>
    <n v="0"/>
    <x v="29"/>
    <s v="Category01"/>
    <s v="Kg"/>
    <n v="105"/>
    <n v="105"/>
    <x v="25"/>
    <n v="630"/>
    <n v="6"/>
    <s v="Feb"/>
    <x v="1"/>
  </r>
  <r>
    <x v="206"/>
    <x v="24"/>
    <x v="14"/>
    <x v="1"/>
    <x v="1"/>
    <n v="0"/>
    <x v="24"/>
    <s v="Category01"/>
    <s v="Ft"/>
    <n v="133"/>
    <n v="133"/>
    <x v="114"/>
    <n v="1463"/>
    <n v="8"/>
    <s v="Feb"/>
    <x v="1"/>
  </r>
  <r>
    <x v="206"/>
    <x v="3"/>
    <x v="8"/>
    <x v="1"/>
    <x v="1"/>
    <n v="0"/>
    <x v="3"/>
    <s v="Category01"/>
    <s v="Lt"/>
    <n v="44"/>
    <n v="44"/>
    <x v="165"/>
    <n v="132"/>
    <n v="8"/>
    <s v="Feb"/>
    <x v="1"/>
  </r>
  <r>
    <x v="207"/>
    <x v="18"/>
    <x v="12"/>
    <x v="1"/>
    <x v="0"/>
    <n v="0"/>
    <x v="18"/>
    <s v="Category04"/>
    <s v="Kg"/>
    <n v="89"/>
    <n v="89"/>
    <x v="201"/>
    <n v="1246"/>
    <n v="9"/>
    <s v="Feb"/>
    <x v="1"/>
  </r>
  <r>
    <x v="208"/>
    <x v="20"/>
    <x v="10"/>
    <x v="2"/>
    <x v="1"/>
    <n v="0"/>
    <x v="20"/>
    <s v="Category02"/>
    <s v="Ft"/>
    <n v="148"/>
    <n v="148"/>
    <x v="185"/>
    <n v="1924"/>
    <n v="12"/>
    <s v="Feb"/>
    <x v="1"/>
  </r>
  <r>
    <x v="209"/>
    <x v="42"/>
    <x v="6"/>
    <x v="1"/>
    <x v="1"/>
    <n v="0"/>
    <x v="42"/>
    <s v="Category04"/>
    <s v="No."/>
    <n v="18"/>
    <n v="18"/>
    <x v="66"/>
    <n v="144"/>
    <n v="14"/>
    <s v="Feb"/>
    <x v="1"/>
  </r>
  <r>
    <x v="209"/>
    <x v="33"/>
    <x v="8"/>
    <x v="2"/>
    <x v="1"/>
    <n v="0"/>
    <x v="33"/>
    <s v="Category04"/>
    <s v="No."/>
    <n v="37"/>
    <n v="37"/>
    <x v="85"/>
    <n v="111"/>
    <n v="14"/>
    <s v="Feb"/>
    <x v="1"/>
  </r>
  <r>
    <x v="210"/>
    <x v="18"/>
    <x v="5"/>
    <x v="1"/>
    <x v="1"/>
    <n v="0"/>
    <x v="18"/>
    <s v="Category04"/>
    <s v="Kg"/>
    <n v="89"/>
    <n v="89"/>
    <x v="145"/>
    <n v="89"/>
    <n v="16"/>
    <s v="Feb"/>
    <x v="1"/>
  </r>
  <r>
    <x v="211"/>
    <x v="29"/>
    <x v="10"/>
    <x v="1"/>
    <x v="1"/>
    <n v="0"/>
    <x v="29"/>
    <s v="Category01"/>
    <s v="Kg"/>
    <n v="105"/>
    <n v="105"/>
    <x v="202"/>
    <n v="1365"/>
    <n v="19"/>
    <s v="Feb"/>
    <x v="1"/>
  </r>
  <r>
    <x v="212"/>
    <x v="35"/>
    <x v="2"/>
    <x v="2"/>
    <x v="1"/>
    <n v="0"/>
    <x v="35"/>
    <s v="Category02"/>
    <s v="Kg"/>
    <n v="73"/>
    <n v="73"/>
    <x v="203"/>
    <n v="438"/>
    <n v="20"/>
    <s v="Feb"/>
    <x v="1"/>
  </r>
  <r>
    <x v="213"/>
    <x v="2"/>
    <x v="2"/>
    <x v="1"/>
    <x v="0"/>
    <n v="0"/>
    <x v="2"/>
    <s v="Category02"/>
    <s v="Kg"/>
    <n v="112"/>
    <n v="112"/>
    <x v="2"/>
    <n v="672"/>
    <n v="23"/>
    <s v="Feb"/>
    <x v="1"/>
  </r>
  <r>
    <x v="213"/>
    <x v="21"/>
    <x v="1"/>
    <x v="1"/>
    <x v="1"/>
    <n v="0"/>
    <x v="21"/>
    <s v="Category02"/>
    <s v="No."/>
    <n v="13"/>
    <n v="13"/>
    <x v="204"/>
    <n v="195"/>
    <n v="23"/>
    <s v="Feb"/>
    <x v="1"/>
  </r>
  <r>
    <x v="213"/>
    <x v="43"/>
    <x v="6"/>
    <x v="2"/>
    <x v="0"/>
    <n v="0"/>
    <x v="43"/>
    <s v="Category04"/>
    <s v="Kg"/>
    <n v="90"/>
    <n v="90"/>
    <x v="18"/>
    <n v="720"/>
    <n v="23"/>
    <s v="Feb"/>
    <x v="1"/>
  </r>
  <r>
    <x v="214"/>
    <x v="35"/>
    <x v="11"/>
    <x v="2"/>
    <x v="1"/>
    <n v="0"/>
    <x v="35"/>
    <s v="Category02"/>
    <s v="Kg"/>
    <n v="73"/>
    <n v="73"/>
    <x v="205"/>
    <n v="511"/>
    <n v="27"/>
    <s v="Feb"/>
    <x v="1"/>
  </r>
  <r>
    <x v="214"/>
    <x v="24"/>
    <x v="1"/>
    <x v="2"/>
    <x v="0"/>
    <n v="0"/>
    <x v="24"/>
    <s v="Category01"/>
    <s v="Ft"/>
    <n v="133"/>
    <n v="133"/>
    <x v="206"/>
    <n v="1995"/>
    <n v="27"/>
    <s v="Feb"/>
    <x v="1"/>
  </r>
  <r>
    <x v="215"/>
    <x v="8"/>
    <x v="1"/>
    <x v="2"/>
    <x v="1"/>
    <n v="0"/>
    <x v="8"/>
    <s v="Category05"/>
    <s v="Kg"/>
    <n v="67"/>
    <n v="67"/>
    <x v="207"/>
    <n v="1005"/>
    <n v="28"/>
    <s v="Feb"/>
    <x v="1"/>
  </r>
  <r>
    <x v="216"/>
    <x v="42"/>
    <x v="10"/>
    <x v="0"/>
    <x v="0"/>
    <n v="0"/>
    <x v="42"/>
    <s v="Category04"/>
    <s v="No."/>
    <n v="18"/>
    <n v="18"/>
    <x v="208"/>
    <n v="234"/>
    <n v="4"/>
    <s v="Mar"/>
    <x v="1"/>
  </r>
  <r>
    <x v="217"/>
    <x v="3"/>
    <x v="13"/>
    <x v="2"/>
    <x v="1"/>
    <n v="0"/>
    <x v="3"/>
    <s v="Category01"/>
    <s v="Lt"/>
    <n v="44"/>
    <n v="44"/>
    <x v="209"/>
    <n v="88"/>
    <n v="6"/>
    <s v="Mar"/>
    <x v="1"/>
  </r>
  <r>
    <x v="218"/>
    <x v="6"/>
    <x v="5"/>
    <x v="2"/>
    <x v="1"/>
    <n v="0"/>
    <x v="6"/>
    <s v="Category01"/>
    <s v="Kg"/>
    <n v="71"/>
    <n v="71"/>
    <x v="210"/>
    <n v="71"/>
    <n v="7"/>
    <s v="Mar"/>
    <x v="1"/>
  </r>
  <r>
    <x v="219"/>
    <x v="11"/>
    <x v="2"/>
    <x v="2"/>
    <x v="0"/>
    <n v="0"/>
    <x v="11"/>
    <s v="Category05"/>
    <s v="Kg"/>
    <n v="76"/>
    <n v="76"/>
    <x v="211"/>
    <n v="456"/>
    <n v="8"/>
    <s v="Mar"/>
    <x v="1"/>
  </r>
  <r>
    <x v="220"/>
    <x v="28"/>
    <x v="8"/>
    <x v="2"/>
    <x v="0"/>
    <n v="0"/>
    <x v="28"/>
    <s v="Category04"/>
    <s v="Ft"/>
    <n v="148"/>
    <n v="148"/>
    <x v="70"/>
    <n v="444"/>
    <n v="9"/>
    <s v="Mar"/>
    <x v="1"/>
  </r>
  <r>
    <x v="220"/>
    <x v="3"/>
    <x v="14"/>
    <x v="1"/>
    <x v="1"/>
    <n v="0"/>
    <x v="3"/>
    <s v="Category01"/>
    <s v="Lt"/>
    <n v="44"/>
    <n v="44"/>
    <x v="103"/>
    <n v="484"/>
    <n v="9"/>
    <s v="Mar"/>
    <x v="1"/>
  </r>
  <r>
    <x v="221"/>
    <x v="38"/>
    <x v="4"/>
    <x v="0"/>
    <x v="0"/>
    <n v="0"/>
    <x v="38"/>
    <s v="Category04"/>
    <s v="Kg"/>
    <n v="95"/>
    <n v="95"/>
    <x v="125"/>
    <n v="1140"/>
    <n v="10"/>
    <s v="Mar"/>
    <x v="1"/>
  </r>
  <r>
    <x v="222"/>
    <x v="21"/>
    <x v="13"/>
    <x v="2"/>
    <x v="1"/>
    <n v="0"/>
    <x v="21"/>
    <s v="Category02"/>
    <s v="No."/>
    <n v="13"/>
    <n v="13"/>
    <x v="212"/>
    <n v="26"/>
    <n v="14"/>
    <s v="Mar"/>
    <x v="1"/>
  </r>
  <r>
    <x v="222"/>
    <x v="42"/>
    <x v="10"/>
    <x v="2"/>
    <x v="0"/>
    <n v="0"/>
    <x v="42"/>
    <s v="Category04"/>
    <s v="No."/>
    <n v="18"/>
    <n v="18"/>
    <x v="208"/>
    <n v="234"/>
    <n v="14"/>
    <s v="Mar"/>
    <x v="1"/>
  </r>
  <r>
    <x v="223"/>
    <x v="40"/>
    <x v="13"/>
    <x v="1"/>
    <x v="1"/>
    <n v="0"/>
    <x v="40"/>
    <s v="Category02"/>
    <s v="Ft"/>
    <n v="150"/>
    <n v="150"/>
    <x v="64"/>
    <n v="300"/>
    <n v="18"/>
    <s v="Mar"/>
    <x v="1"/>
  </r>
  <r>
    <x v="223"/>
    <x v="26"/>
    <x v="9"/>
    <x v="2"/>
    <x v="1"/>
    <n v="0"/>
    <x v="26"/>
    <s v="Category04"/>
    <s v="Lt"/>
    <n v="48"/>
    <n v="48"/>
    <x v="10"/>
    <n v="480"/>
    <n v="18"/>
    <s v="Mar"/>
    <x v="1"/>
  </r>
  <r>
    <x v="224"/>
    <x v="41"/>
    <x v="2"/>
    <x v="0"/>
    <x v="1"/>
    <n v="0"/>
    <x v="41"/>
    <s v="Category05"/>
    <s v="Ft"/>
    <n v="138"/>
    <n v="138"/>
    <x v="105"/>
    <n v="828"/>
    <n v="19"/>
    <s v="Mar"/>
    <x v="1"/>
  </r>
  <r>
    <x v="225"/>
    <x v="18"/>
    <x v="0"/>
    <x v="2"/>
    <x v="1"/>
    <n v="0"/>
    <x v="18"/>
    <s v="Category04"/>
    <s v="Kg"/>
    <n v="89"/>
    <n v="89"/>
    <x v="213"/>
    <n v="801"/>
    <n v="23"/>
    <s v="Mar"/>
    <x v="1"/>
  </r>
  <r>
    <x v="226"/>
    <x v="16"/>
    <x v="13"/>
    <x v="0"/>
    <x v="0"/>
    <n v="0"/>
    <x v="16"/>
    <s v="Category01"/>
    <s v="Kg"/>
    <n v="98"/>
    <n v="98"/>
    <x v="140"/>
    <n v="196"/>
    <n v="25"/>
    <s v="Mar"/>
    <x v="1"/>
  </r>
  <r>
    <x v="226"/>
    <x v="28"/>
    <x v="14"/>
    <x v="2"/>
    <x v="0"/>
    <n v="0"/>
    <x v="28"/>
    <s v="Category04"/>
    <s v="Ft"/>
    <n v="148"/>
    <n v="148"/>
    <x v="42"/>
    <n v="1628"/>
    <n v="25"/>
    <s v="Mar"/>
    <x v="1"/>
  </r>
  <r>
    <x v="227"/>
    <x v="18"/>
    <x v="4"/>
    <x v="1"/>
    <x v="0"/>
    <n v="0"/>
    <x v="18"/>
    <s v="Category04"/>
    <s v="Kg"/>
    <n v="89"/>
    <n v="89"/>
    <x v="104"/>
    <n v="1068"/>
    <n v="29"/>
    <s v="Mar"/>
    <x v="1"/>
  </r>
  <r>
    <x v="228"/>
    <x v="16"/>
    <x v="10"/>
    <x v="1"/>
    <x v="1"/>
    <n v="0"/>
    <x v="16"/>
    <s v="Category01"/>
    <s v="Kg"/>
    <n v="98"/>
    <n v="98"/>
    <x v="160"/>
    <n v="1274"/>
    <n v="30"/>
    <s v="Mar"/>
    <x v="1"/>
  </r>
  <r>
    <x v="229"/>
    <x v="29"/>
    <x v="13"/>
    <x v="1"/>
    <x v="1"/>
    <n v="0"/>
    <x v="29"/>
    <s v="Category01"/>
    <s v="Kg"/>
    <n v="105"/>
    <n v="105"/>
    <x v="214"/>
    <n v="210"/>
    <n v="1"/>
    <s v="Apr"/>
    <x v="1"/>
  </r>
  <r>
    <x v="230"/>
    <x v="29"/>
    <x v="8"/>
    <x v="2"/>
    <x v="1"/>
    <n v="0"/>
    <x v="29"/>
    <s v="Category01"/>
    <s v="Kg"/>
    <n v="105"/>
    <n v="105"/>
    <x v="215"/>
    <n v="315"/>
    <n v="2"/>
    <s v="Apr"/>
    <x v="1"/>
  </r>
  <r>
    <x v="231"/>
    <x v="17"/>
    <x v="13"/>
    <x v="0"/>
    <x v="1"/>
    <n v="0"/>
    <x v="17"/>
    <s v="Category05"/>
    <s v="Kg"/>
    <n v="90"/>
    <n v="90"/>
    <x v="153"/>
    <n v="180"/>
    <n v="6"/>
    <s v="Apr"/>
    <x v="1"/>
  </r>
  <r>
    <x v="232"/>
    <x v="42"/>
    <x v="11"/>
    <x v="2"/>
    <x v="0"/>
    <n v="0"/>
    <x v="42"/>
    <s v="Category04"/>
    <s v="No."/>
    <n v="18"/>
    <n v="18"/>
    <x v="216"/>
    <n v="126"/>
    <n v="7"/>
    <s v="Apr"/>
    <x v="1"/>
  </r>
  <r>
    <x v="233"/>
    <x v="34"/>
    <x v="4"/>
    <x v="0"/>
    <x v="1"/>
    <n v="0"/>
    <x v="34"/>
    <s v="Category05"/>
    <s v="No."/>
    <n v="37"/>
    <n v="37"/>
    <x v="70"/>
    <n v="444"/>
    <n v="9"/>
    <s v="Apr"/>
    <x v="1"/>
  </r>
  <r>
    <x v="233"/>
    <x v="29"/>
    <x v="0"/>
    <x v="1"/>
    <x v="0"/>
    <n v="0"/>
    <x v="29"/>
    <s v="Category01"/>
    <s v="Kg"/>
    <n v="105"/>
    <n v="105"/>
    <x v="217"/>
    <n v="945"/>
    <n v="9"/>
    <s v="Apr"/>
    <x v="1"/>
  </r>
  <r>
    <x v="234"/>
    <x v="21"/>
    <x v="12"/>
    <x v="0"/>
    <x v="0"/>
    <n v="0"/>
    <x v="21"/>
    <s v="Category02"/>
    <s v="No."/>
    <n v="13"/>
    <n v="13"/>
    <x v="218"/>
    <n v="182"/>
    <n v="13"/>
    <s v="Apr"/>
    <x v="1"/>
  </r>
  <r>
    <x v="235"/>
    <x v="41"/>
    <x v="0"/>
    <x v="2"/>
    <x v="1"/>
    <n v="0"/>
    <x v="41"/>
    <s v="Category05"/>
    <s v="Ft"/>
    <n v="138"/>
    <n v="138"/>
    <x v="198"/>
    <n v="1242"/>
    <n v="18"/>
    <s v="Apr"/>
    <x v="1"/>
  </r>
  <r>
    <x v="236"/>
    <x v="30"/>
    <x v="13"/>
    <x v="0"/>
    <x v="0"/>
    <n v="0"/>
    <x v="30"/>
    <s v="Category02"/>
    <s v="No."/>
    <n v="37"/>
    <n v="37"/>
    <x v="219"/>
    <n v="74"/>
    <n v="20"/>
    <s v="Apr"/>
    <x v="1"/>
  </r>
  <r>
    <x v="236"/>
    <x v="35"/>
    <x v="7"/>
    <x v="2"/>
    <x v="0"/>
    <n v="0"/>
    <x v="35"/>
    <s v="Category02"/>
    <s v="Kg"/>
    <n v="73"/>
    <n v="73"/>
    <x v="62"/>
    <n v="292"/>
    <n v="20"/>
    <s v="Apr"/>
    <x v="1"/>
  </r>
  <r>
    <x v="237"/>
    <x v="28"/>
    <x v="13"/>
    <x v="2"/>
    <x v="1"/>
    <n v="0"/>
    <x v="28"/>
    <s v="Category04"/>
    <s v="Ft"/>
    <n v="148"/>
    <n v="148"/>
    <x v="48"/>
    <n v="296"/>
    <n v="21"/>
    <s v="Apr"/>
    <x v="1"/>
  </r>
  <r>
    <x v="237"/>
    <x v="42"/>
    <x v="12"/>
    <x v="1"/>
    <x v="0"/>
    <n v="0"/>
    <x v="42"/>
    <s v="Category04"/>
    <s v="No."/>
    <n v="18"/>
    <n v="18"/>
    <x v="115"/>
    <n v="252"/>
    <n v="21"/>
    <s v="Apr"/>
    <x v="1"/>
  </r>
  <r>
    <x v="238"/>
    <x v="11"/>
    <x v="1"/>
    <x v="1"/>
    <x v="0"/>
    <n v="0"/>
    <x v="11"/>
    <s v="Category05"/>
    <s v="Kg"/>
    <n v="76"/>
    <n v="76"/>
    <x v="125"/>
    <n v="1140"/>
    <n v="23"/>
    <s v="Apr"/>
    <x v="1"/>
  </r>
  <r>
    <x v="239"/>
    <x v="13"/>
    <x v="7"/>
    <x v="2"/>
    <x v="0"/>
    <n v="0"/>
    <x v="13"/>
    <s v="Category04"/>
    <s v="Lt"/>
    <n v="55"/>
    <n v="55"/>
    <x v="3"/>
    <n v="220"/>
    <n v="24"/>
    <s v="Apr"/>
    <x v="1"/>
  </r>
  <r>
    <x v="240"/>
    <x v="3"/>
    <x v="0"/>
    <x v="2"/>
    <x v="1"/>
    <n v="0"/>
    <x v="3"/>
    <s v="Category01"/>
    <s v="Lt"/>
    <n v="44"/>
    <n v="44"/>
    <x v="220"/>
    <n v="396"/>
    <n v="25"/>
    <s v="Apr"/>
    <x v="1"/>
  </r>
  <r>
    <x v="240"/>
    <x v="6"/>
    <x v="6"/>
    <x v="1"/>
    <x v="0"/>
    <n v="0"/>
    <x v="6"/>
    <s v="Category01"/>
    <s v="Kg"/>
    <n v="71"/>
    <n v="71"/>
    <x v="6"/>
    <n v="568"/>
    <n v="25"/>
    <s v="Apr"/>
    <x v="1"/>
  </r>
  <r>
    <x v="241"/>
    <x v="26"/>
    <x v="13"/>
    <x v="2"/>
    <x v="1"/>
    <n v="0"/>
    <x v="26"/>
    <s v="Category04"/>
    <s v="Lt"/>
    <n v="48"/>
    <n v="48"/>
    <x v="221"/>
    <n v="96"/>
    <n v="26"/>
    <s v="Apr"/>
    <x v="1"/>
  </r>
  <r>
    <x v="242"/>
    <x v="9"/>
    <x v="12"/>
    <x v="2"/>
    <x v="1"/>
    <n v="0"/>
    <x v="9"/>
    <s v="Category02"/>
    <s v="Kg"/>
    <n v="112"/>
    <n v="112"/>
    <x v="222"/>
    <n v="1568"/>
    <n v="28"/>
    <s v="Apr"/>
    <x v="1"/>
  </r>
  <r>
    <x v="243"/>
    <x v="21"/>
    <x v="10"/>
    <x v="1"/>
    <x v="0"/>
    <n v="0"/>
    <x v="21"/>
    <s v="Category02"/>
    <s v="No."/>
    <n v="13"/>
    <n v="13"/>
    <x v="30"/>
    <n v="169"/>
    <n v="30"/>
    <s v="Apr"/>
    <x v="1"/>
  </r>
  <r>
    <x v="243"/>
    <x v="26"/>
    <x v="6"/>
    <x v="2"/>
    <x v="0"/>
    <n v="0"/>
    <x v="26"/>
    <s v="Category04"/>
    <s v="Lt"/>
    <n v="48"/>
    <n v="48"/>
    <x v="159"/>
    <n v="384"/>
    <n v="30"/>
    <s v="Apr"/>
    <x v="1"/>
  </r>
  <r>
    <x v="244"/>
    <x v="13"/>
    <x v="0"/>
    <x v="0"/>
    <x v="0"/>
    <n v="0"/>
    <x v="13"/>
    <s v="Category04"/>
    <s v="Lt"/>
    <n v="55"/>
    <n v="55"/>
    <x v="223"/>
    <n v="495"/>
    <n v="1"/>
    <s v="May"/>
    <x v="1"/>
  </r>
  <r>
    <x v="244"/>
    <x v="38"/>
    <x v="2"/>
    <x v="1"/>
    <x v="0"/>
    <n v="0"/>
    <x v="38"/>
    <s v="Category04"/>
    <s v="Kg"/>
    <n v="95"/>
    <n v="95"/>
    <x v="102"/>
    <n v="570"/>
    <n v="1"/>
    <s v="May"/>
    <x v="1"/>
  </r>
  <r>
    <x v="245"/>
    <x v="2"/>
    <x v="7"/>
    <x v="1"/>
    <x v="1"/>
    <n v="0"/>
    <x v="2"/>
    <s v="Category02"/>
    <s v="Kg"/>
    <n v="112"/>
    <n v="112"/>
    <x v="9"/>
    <n v="448"/>
    <n v="2"/>
    <s v="May"/>
    <x v="1"/>
  </r>
  <r>
    <x v="246"/>
    <x v="14"/>
    <x v="9"/>
    <x v="2"/>
    <x v="0"/>
    <n v="0"/>
    <x v="14"/>
    <s v="Category03"/>
    <s v="Lt"/>
    <n v="61"/>
    <n v="61"/>
    <x v="224"/>
    <n v="610"/>
    <n v="4"/>
    <s v="May"/>
    <x v="1"/>
  </r>
  <r>
    <x v="247"/>
    <x v="13"/>
    <x v="11"/>
    <x v="2"/>
    <x v="0"/>
    <n v="0"/>
    <x v="13"/>
    <s v="Category04"/>
    <s v="Lt"/>
    <n v="55"/>
    <n v="55"/>
    <x v="225"/>
    <n v="385"/>
    <n v="6"/>
    <s v="May"/>
    <x v="1"/>
  </r>
  <r>
    <x v="248"/>
    <x v="27"/>
    <x v="7"/>
    <x v="1"/>
    <x v="1"/>
    <n v="0"/>
    <x v="27"/>
    <s v="Category02"/>
    <s v="No."/>
    <n v="12"/>
    <n v="12"/>
    <x v="226"/>
    <n v="48"/>
    <n v="7"/>
    <s v="May"/>
    <x v="1"/>
  </r>
  <r>
    <x v="248"/>
    <x v="26"/>
    <x v="5"/>
    <x v="1"/>
    <x v="0"/>
    <n v="0"/>
    <x v="26"/>
    <s v="Category04"/>
    <s v="Lt"/>
    <n v="48"/>
    <n v="48"/>
    <x v="226"/>
    <n v="48"/>
    <n v="7"/>
    <s v="May"/>
    <x v="1"/>
  </r>
  <r>
    <x v="249"/>
    <x v="22"/>
    <x v="11"/>
    <x v="1"/>
    <x v="0"/>
    <n v="0"/>
    <x v="22"/>
    <s v="Category03"/>
    <s v="Ft"/>
    <n v="121"/>
    <n v="121"/>
    <x v="227"/>
    <n v="847"/>
    <n v="8"/>
    <s v="May"/>
    <x v="1"/>
  </r>
  <r>
    <x v="250"/>
    <x v="39"/>
    <x v="4"/>
    <x v="0"/>
    <x v="1"/>
    <n v="0"/>
    <x v="39"/>
    <s v="Category02"/>
    <s v="Ft"/>
    <n v="134"/>
    <n v="134"/>
    <x v="228"/>
    <n v="1608"/>
    <n v="9"/>
    <s v="May"/>
    <x v="1"/>
  </r>
  <r>
    <x v="251"/>
    <x v="37"/>
    <x v="2"/>
    <x v="2"/>
    <x v="0"/>
    <n v="0"/>
    <x v="37"/>
    <s v="Category01"/>
    <s v="No."/>
    <n v="6"/>
    <n v="6"/>
    <x v="90"/>
    <n v="36"/>
    <n v="10"/>
    <s v="May"/>
    <x v="1"/>
  </r>
  <r>
    <x v="252"/>
    <x v="31"/>
    <x v="11"/>
    <x v="1"/>
    <x v="1"/>
    <n v="0"/>
    <x v="31"/>
    <s v="Category02"/>
    <s v="Lt"/>
    <n v="44"/>
    <n v="44"/>
    <x v="162"/>
    <n v="308"/>
    <n v="12"/>
    <s v="May"/>
    <x v="1"/>
  </r>
  <r>
    <x v="253"/>
    <x v="35"/>
    <x v="3"/>
    <x v="2"/>
    <x v="0"/>
    <n v="0"/>
    <x v="35"/>
    <s v="Category02"/>
    <s v="Kg"/>
    <n v="73"/>
    <n v="73"/>
    <x v="229"/>
    <n v="365"/>
    <n v="13"/>
    <s v="May"/>
    <x v="1"/>
  </r>
  <r>
    <x v="254"/>
    <x v="25"/>
    <x v="12"/>
    <x v="2"/>
    <x v="1"/>
    <n v="0"/>
    <x v="25"/>
    <s v="Category01"/>
    <s v="Kg"/>
    <n v="83"/>
    <n v="83"/>
    <x v="230"/>
    <n v="1162"/>
    <n v="14"/>
    <s v="May"/>
    <x v="1"/>
  </r>
  <r>
    <x v="255"/>
    <x v="14"/>
    <x v="3"/>
    <x v="1"/>
    <x v="0"/>
    <n v="0"/>
    <x v="14"/>
    <s v="Category03"/>
    <s v="Lt"/>
    <n v="61"/>
    <n v="61"/>
    <x v="231"/>
    <n v="305"/>
    <n v="15"/>
    <s v="May"/>
    <x v="1"/>
  </r>
  <r>
    <x v="256"/>
    <x v="20"/>
    <x v="10"/>
    <x v="2"/>
    <x v="1"/>
    <n v="0"/>
    <x v="20"/>
    <s v="Category02"/>
    <s v="Ft"/>
    <n v="148"/>
    <n v="148"/>
    <x v="185"/>
    <n v="1924"/>
    <n v="16"/>
    <s v="May"/>
    <x v="1"/>
  </r>
  <r>
    <x v="256"/>
    <x v="5"/>
    <x v="10"/>
    <x v="1"/>
    <x v="0"/>
    <n v="0"/>
    <x v="5"/>
    <s v="Category04"/>
    <s v="Kg"/>
    <n v="93"/>
    <n v="93"/>
    <x v="232"/>
    <n v="1209"/>
    <n v="16"/>
    <s v="May"/>
    <x v="1"/>
  </r>
  <r>
    <x v="257"/>
    <x v="26"/>
    <x v="6"/>
    <x v="2"/>
    <x v="1"/>
    <n v="0"/>
    <x v="26"/>
    <s v="Category04"/>
    <s v="Lt"/>
    <n v="48"/>
    <n v="48"/>
    <x v="159"/>
    <n v="384"/>
    <n v="17"/>
    <s v="May"/>
    <x v="1"/>
  </r>
  <r>
    <x v="258"/>
    <x v="26"/>
    <x v="7"/>
    <x v="0"/>
    <x v="0"/>
    <n v="0"/>
    <x v="26"/>
    <s v="Category04"/>
    <s v="Lt"/>
    <n v="48"/>
    <n v="48"/>
    <x v="40"/>
    <n v="192"/>
    <n v="18"/>
    <s v="May"/>
    <x v="1"/>
  </r>
  <r>
    <x v="258"/>
    <x v="1"/>
    <x v="6"/>
    <x v="0"/>
    <x v="0"/>
    <n v="0"/>
    <x v="1"/>
    <s v="Category05"/>
    <s v="Kg"/>
    <n v="72"/>
    <n v="72"/>
    <x v="233"/>
    <n v="576"/>
    <n v="18"/>
    <s v="May"/>
    <x v="1"/>
  </r>
  <r>
    <x v="259"/>
    <x v="11"/>
    <x v="1"/>
    <x v="1"/>
    <x v="1"/>
    <n v="0"/>
    <x v="11"/>
    <s v="Category05"/>
    <s v="Kg"/>
    <n v="76"/>
    <n v="76"/>
    <x v="125"/>
    <n v="1140"/>
    <n v="20"/>
    <s v="May"/>
    <x v="1"/>
  </r>
  <r>
    <x v="260"/>
    <x v="27"/>
    <x v="4"/>
    <x v="2"/>
    <x v="0"/>
    <n v="0"/>
    <x v="27"/>
    <s v="Category02"/>
    <s v="No."/>
    <n v="12"/>
    <n v="12"/>
    <x v="66"/>
    <n v="144"/>
    <n v="22"/>
    <s v="May"/>
    <x v="1"/>
  </r>
  <r>
    <x v="261"/>
    <x v="29"/>
    <x v="11"/>
    <x v="1"/>
    <x v="0"/>
    <n v="0"/>
    <x v="29"/>
    <s v="Category01"/>
    <s v="Kg"/>
    <n v="105"/>
    <n v="105"/>
    <x v="234"/>
    <n v="735"/>
    <n v="25"/>
    <s v="May"/>
    <x v="1"/>
  </r>
  <r>
    <x v="262"/>
    <x v="33"/>
    <x v="13"/>
    <x v="2"/>
    <x v="0"/>
    <n v="0"/>
    <x v="33"/>
    <s v="Category04"/>
    <s v="No."/>
    <n v="37"/>
    <n v="37"/>
    <x v="219"/>
    <n v="74"/>
    <n v="26"/>
    <s v="May"/>
    <x v="1"/>
  </r>
  <r>
    <x v="262"/>
    <x v="26"/>
    <x v="13"/>
    <x v="1"/>
    <x v="0"/>
    <n v="0"/>
    <x v="26"/>
    <s v="Category04"/>
    <s v="Lt"/>
    <n v="48"/>
    <n v="48"/>
    <x v="221"/>
    <n v="96"/>
    <n v="26"/>
    <s v="May"/>
    <x v="1"/>
  </r>
  <r>
    <x v="263"/>
    <x v="41"/>
    <x v="9"/>
    <x v="0"/>
    <x v="1"/>
    <n v="0"/>
    <x v="41"/>
    <s v="Category05"/>
    <s v="Ft"/>
    <n v="138"/>
    <n v="138"/>
    <x v="235"/>
    <n v="1380"/>
    <n v="28"/>
    <s v="May"/>
    <x v="1"/>
  </r>
  <r>
    <x v="263"/>
    <x v="25"/>
    <x v="3"/>
    <x v="0"/>
    <x v="0"/>
    <n v="0"/>
    <x v="25"/>
    <s v="Category01"/>
    <s v="Kg"/>
    <n v="83"/>
    <n v="83"/>
    <x v="236"/>
    <n v="415"/>
    <n v="28"/>
    <s v="May"/>
    <x v="1"/>
  </r>
  <r>
    <x v="263"/>
    <x v="20"/>
    <x v="0"/>
    <x v="1"/>
    <x v="1"/>
    <n v="0"/>
    <x v="20"/>
    <s v="Category02"/>
    <s v="Ft"/>
    <n v="148"/>
    <n v="148"/>
    <x v="69"/>
    <n v="1332"/>
    <n v="28"/>
    <s v="May"/>
    <x v="1"/>
  </r>
  <r>
    <x v="263"/>
    <x v="3"/>
    <x v="4"/>
    <x v="1"/>
    <x v="0"/>
    <n v="0"/>
    <x v="3"/>
    <s v="Category01"/>
    <s v="Lt"/>
    <n v="44"/>
    <n v="44"/>
    <x v="237"/>
    <n v="528"/>
    <n v="28"/>
    <s v="May"/>
    <x v="1"/>
  </r>
  <r>
    <x v="263"/>
    <x v="14"/>
    <x v="12"/>
    <x v="2"/>
    <x v="1"/>
    <n v="0"/>
    <x v="14"/>
    <s v="Category03"/>
    <s v="Lt"/>
    <n v="61"/>
    <n v="61"/>
    <x v="238"/>
    <n v="854"/>
    <n v="28"/>
    <s v="May"/>
    <x v="1"/>
  </r>
  <r>
    <x v="264"/>
    <x v="11"/>
    <x v="0"/>
    <x v="2"/>
    <x v="0"/>
    <n v="0"/>
    <x v="11"/>
    <s v="Category05"/>
    <s v="Kg"/>
    <n v="76"/>
    <n v="76"/>
    <x v="22"/>
    <n v="684"/>
    <n v="30"/>
    <s v="May"/>
    <x v="1"/>
  </r>
  <r>
    <x v="264"/>
    <x v="24"/>
    <x v="7"/>
    <x v="0"/>
    <x v="1"/>
    <n v="0"/>
    <x v="24"/>
    <s v="Category01"/>
    <s v="Ft"/>
    <n v="133"/>
    <n v="133"/>
    <x v="130"/>
    <n v="532"/>
    <n v="30"/>
    <s v="May"/>
    <x v="1"/>
  </r>
  <r>
    <x v="264"/>
    <x v="38"/>
    <x v="8"/>
    <x v="1"/>
    <x v="1"/>
    <n v="0"/>
    <x v="38"/>
    <s v="Category04"/>
    <s v="Kg"/>
    <n v="95"/>
    <n v="95"/>
    <x v="239"/>
    <n v="285"/>
    <n v="30"/>
    <s v="May"/>
    <x v="1"/>
  </r>
  <r>
    <x v="265"/>
    <x v="25"/>
    <x v="12"/>
    <x v="1"/>
    <x v="0"/>
    <n v="0"/>
    <x v="25"/>
    <s v="Category01"/>
    <s v="Kg"/>
    <n v="83"/>
    <n v="83"/>
    <x v="230"/>
    <n v="1162"/>
    <n v="3"/>
    <s v="Jun"/>
    <x v="1"/>
  </r>
  <r>
    <x v="266"/>
    <x v="33"/>
    <x v="6"/>
    <x v="0"/>
    <x v="0"/>
    <n v="0"/>
    <x v="33"/>
    <s v="Category04"/>
    <s v="No."/>
    <n v="37"/>
    <n v="37"/>
    <x v="48"/>
    <n v="296"/>
    <n v="10"/>
    <s v="Jun"/>
    <x v="1"/>
  </r>
  <r>
    <x v="267"/>
    <x v="34"/>
    <x v="10"/>
    <x v="1"/>
    <x v="1"/>
    <n v="0"/>
    <x v="34"/>
    <s v="Category05"/>
    <s v="No."/>
    <n v="37"/>
    <n v="37"/>
    <x v="137"/>
    <n v="481"/>
    <n v="11"/>
    <s v="Jun"/>
    <x v="1"/>
  </r>
  <r>
    <x v="267"/>
    <x v="32"/>
    <x v="2"/>
    <x v="2"/>
    <x v="0"/>
    <n v="0"/>
    <x v="32"/>
    <s v="Category03"/>
    <s v="Ft"/>
    <n v="126"/>
    <n v="126"/>
    <x v="168"/>
    <n v="756"/>
    <n v="11"/>
    <s v="Jun"/>
    <x v="1"/>
  </r>
  <r>
    <x v="268"/>
    <x v="42"/>
    <x v="2"/>
    <x v="2"/>
    <x v="1"/>
    <n v="0"/>
    <x v="42"/>
    <s v="Category04"/>
    <s v="No."/>
    <n v="18"/>
    <n v="18"/>
    <x v="158"/>
    <n v="108"/>
    <n v="13"/>
    <s v="Jun"/>
    <x v="1"/>
  </r>
  <r>
    <x v="269"/>
    <x v="10"/>
    <x v="1"/>
    <x v="0"/>
    <x v="0"/>
    <n v="0"/>
    <x v="10"/>
    <s v="Category05"/>
    <s v="Ft"/>
    <n v="120"/>
    <n v="120"/>
    <x v="240"/>
    <n v="1800"/>
    <n v="15"/>
    <s v="Jun"/>
    <x v="1"/>
  </r>
  <r>
    <x v="270"/>
    <x v="19"/>
    <x v="1"/>
    <x v="1"/>
    <x v="1"/>
    <n v="0"/>
    <x v="19"/>
    <s v="Category04"/>
    <s v="Lt"/>
    <n v="47"/>
    <n v="47"/>
    <x v="123"/>
    <n v="705"/>
    <n v="16"/>
    <s v="Jun"/>
    <x v="1"/>
  </r>
  <r>
    <x v="271"/>
    <x v="29"/>
    <x v="6"/>
    <x v="2"/>
    <x v="1"/>
    <n v="0"/>
    <x v="29"/>
    <s v="Category01"/>
    <s v="Kg"/>
    <n v="105"/>
    <n v="105"/>
    <x v="61"/>
    <n v="840"/>
    <n v="19"/>
    <s v="Jun"/>
    <x v="1"/>
  </r>
  <r>
    <x v="272"/>
    <x v="39"/>
    <x v="12"/>
    <x v="2"/>
    <x v="1"/>
    <n v="0"/>
    <x v="39"/>
    <s v="Category02"/>
    <s v="Ft"/>
    <n v="134"/>
    <n v="134"/>
    <x v="195"/>
    <n v="1876"/>
    <n v="21"/>
    <s v="Jun"/>
    <x v="1"/>
  </r>
  <r>
    <x v="273"/>
    <x v="17"/>
    <x v="9"/>
    <x v="1"/>
    <x v="1"/>
    <n v="0"/>
    <x v="17"/>
    <s v="Category05"/>
    <s v="Kg"/>
    <n v="90"/>
    <n v="90"/>
    <x v="170"/>
    <n v="900"/>
    <n v="22"/>
    <s v="Jun"/>
    <x v="1"/>
  </r>
  <r>
    <x v="273"/>
    <x v="16"/>
    <x v="7"/>
    <x v="2"/>
    <x v="1"/>
    <n v="0"/>
    <x v="16"/>
    <s v="Category01"/>
    <s v="Kg"/>
    <n v="98"/>
    <n v="98"/>
    <x v="67"/>
    <n v="392"/>
    <n v="22"/>
    <s v="Jun"/>
    <x v="1"/>
  </r>
  <r>
    <x v="274"/>
    <x v="3"/>
    <x v="6"/>
    <x v="2"/>
    <x v="0"/>
    <n v="0"/>
    <x v="3"/>
    <s v="Category01"/>
    <s v="Lt"/>
    <n v="44"/>
    <n v="44"/>
    <x v="241"/>
    <n v="352"/>
    <n v="23"/>
    <s v="Jun"/>
    <x v="1"/>
  </r>
  <r>
    <x v="275"/>
    <x v="30"/>
    <x v="11"/>
    <x v="2"/>
    <x v="1"/>
    <n v="0"/>
    <x v="30"/>
    <s v="Category02"/>
    <s v="No."/>
    <n v="37"/>
    <n v="37"/>
    <x v="60"/>
    <n v="259"/>
    <n v="24"/>
    <s v="Jun"/>
    <x v="1"/>
  </r>
  <r>
    <x v="276"/>
    <x v="35"/>
    <x v="11"/>
    <x v="1"/>
    <x v="0"/>
    <n v="0"/>
    <x v="35"/>
    <s v="Category02"/>
    <s v="Kg"/>
    <n v="73"/>
    <n v="73"/>
    <x v="205"/>
    <n v="511"/>
    <n v="25"/>
    <s v="Jun"/>
    <x v="1"/>
  </r>
  <r>
    <x v="277"/>
    <x v="13"/>
    <x v="7"/>
    <x v="2"/>
    <x v="1"/>
    <n v="0"/>
    <x v="13"/>
    <s v="Category04"/>
    <s v="Lt"/>
    <n v="55"/>
    <n v="55"/>
    <x v="3"/>
    <n v="220"/>
    <n v="26"/>
    <s v="Jun"/>
    <x v="1"/>
  </r>
  <r>
    <x v="277"/>
    <x v="23"/>
    <x v="4"/>
    <x v="2"/>
    <x v="0"/>
    <n v="0"/>
    <x v="23"/>
    <s v="Category05"/>
    <s v="Kg"/>
    <n v="67"/>
    <n v="67"/>
    <x v="242"/>
    <n v="804"/>
    <n v="26"/>
    <s v="Jun"/>
    <x v="1"/>
  </r>
  <r>
    <x v="278"/>
    <x v="38"/>
    <x v="1"/>
    <x v="2"/>
    <x v="1"/>
    <n v="0"/>
    <x v="38"/>
    <s v="Category04"/>
    <s v="Kg"/>
    <n v="95"/>
    <n v="95"/>
    <x v="243"/>
    <n v="1425"/>
    <n v="3"/>
    <s v="Jul"/>
    <x v="1"/>
  </r>
  <r>
    <x v="279"/>
    <x v="36"/>
    <x v="11"/>
    <x v="2"/>
    <x v="0"/>
    <n v="0"/>
    <x v="36"/>
    <s v="Category01"/>
    <s v="Lt"/>
    <n v="43"/>
    <n v="43"/>
    <x v="244"/>
    <n v="301"/>
    <n v="4"/>
    <s v="Jul"/>
    <x v="1"/>
  </r>
  <r>
    <x v="280"/>
    <x v="7"/>
    <x v="11"/>
    <x v="1"/>
    <x v="1"/>
    <n v="0"/>
    <x v="7"/>
    <s v="Category03"/>
    <s v="No."/>
    <n v="7"/>
    <n v="7"/>
    <x v="245"/>
    <n v="49"/>
    <n v="5"/>
    <s v="Jul"/>
    <x v="1"/>
  </r>
  <r>
    <x v="280"/>
    <x v="27"/>
    <x v="6"/>
    <x v="2"/>
    <x v="0"/>
    <n v="0"/>
    <x v="27"/>
    <s v="Category02"/>
    <s v="No."/>
    <n v="12"/>
    <n v="12"/>
    <x v="221"/>
    <n v="96"/>
    <n v="5"/>
    <s v="Jul"/>
    <x v="1"/>
  </r>
  <r>
    <x v="281"/>
    <x v="41"/>
    <x v="13"/>
    <x v="2"/>
    <x v="1"/>
    <n v="0"/>
    <x v="41"/>
    <s v="Category05"/>
    <s v="Ft"/>
    <n v="138"/>
    <n v="138"/>
    <x v="246"/>
    <n v="276"/>
    <n v="6"/>
    <s v="Jul"/>
    <x v="1"/>
  </r>
  <r>
    <x v="282"/>
    <x v="30"/>
    <x v="13"/>
    <x v="2"/>
    <x v="0"/>
    <n v="0"/>
    <x v="30"/>
    <s v="Category02"/>
    <s v="No."/>
    <n v="37"/>
    <n v="37"/>
    <x v="219"/>
    <n v="74"/>
    <n v="8"/>
    <s v="Jul"/>
    <x v="1"/>
  </r>
  <r>
    <x v="283"/>
    <x v="18"/>
    <x v="4"/>
    <x v="1"/>
    <x v="1"/>
    <n v="0"/>
    <x v="18"/>
    <s v="Category04"/>
    <s v="Kg"/>
    <n v="89"/>
    <n v="89"/>
    <x v="104"/>
    <n v="1068"/>
    <n v="10"/>
    <s v="Jul"/>
    <x v="1"/>
  </r>
  <r>
    <x v="284"/>
    <x v="33"/>
    <x v="4"/>
    <x v="2"/>
    <x v="1"/>
    <n v="0"/>
    <x v="33"/>
    <s v="Category04"/>
    <s v="No."/>
    <n v="37"/>
    <n v="37"/>
    <x v="70"/>
    <n v="444"/>
    <n v="12"/>
    <s v="Jul"/>
    <x v="1"/>
  </r>
  <r>
    <x v="285"/>
    <x v="7"/>
    <x v="11"/>
    <x v="2"/>
    <x v="0"/>
    <n v="0"/>
    <x v="7"/>
    <s v="Category03"/>
    <s v="No."/>
    <n v="7"/>
    <n v="7"/>
    <x v="245"/>
    <n v="49"/>
    <n v="13"/>
    <s v="Jul"/>
    <x v="1"/>
  </r>
  <r>
    <x v="286"/>
    <x v="38"/>
    <x v="0"/>
    <x v="2"/>
    <x v="0"/>
    <n v="0"/>
    <x v="38"/>
    <s v="Category04"/>
    <s v="Kg"/>
    <n v="95"/>
    <n v="95"/>
    <x v="116"/>
    <n v="855"/>
    <n v="14"/>
    <s v="Jul"/>
    <x v="1"/>
  </r>
  <r>
    <x v="287"/>
    <x v="3"/>
    <x v="13"/>
    <x v="1"/>
    <x v="0"/>
    <n v="0"/>
    <x v="3"/>
    <s v="Category01"/>
    <s v="Lt"/>
    <n v="44"/>
    <n v="44"/>
    <x v="209"/>
    <n v="88"/>
    <n v="15"/>
    <s v="Jul"/>
    <x v="1"/>
  </r>
  <r>
    <x v="288"/>
    <x v="41"/>
    <x v="6"/>
    <x v="1"/>
    <x v="1"/>
    <n v="0"/>
    <x v="41"/>
    <s v="Category05"/>
    <s v="Ft"/>
    <n v="138"/>
    <n v="138"/>
    <x v="143"/>
    <n v="1104"/>
    <n v="17"/>
    <s v="Jul"/>
    <x v="1"/>
  </r>
  <r>
    <x v="289"/>
    <x v="20"/>
    <x v="4"/>
    <x v="2"/>
    <x v="0"/>
    <n v="0"/>
    <x v="20"/>
    <s v="Category02"/>
    <s v="Ft"/>
    <n v="148"/>
    <n v="148"/>
    <x v="247"/>
    <n v="1776"/>
    <n v="18"/>
    <s v="Jul"/>
    <x v="1"/>
  </r>
  <r>
    <x v="290"/>
    <x v="10"/>
    <x v="6"/>
    <x v="0"/>
    <x v="0"/>
    <n v="0"/>
    <x v="10"/>
    <s v="Category05"/>
    <s v="Ft"/>
    <n v="120"/>
    <n v="120"/>
    <x v="57"/>
    <n v="960"/>
    <n v="20"/>
    <s v="Jul"/>
    <x v="1"/>
  </r>
  <r>
    <x v="291"/>
    <x v="13"/>
    <x v="2"/>
    <x v="2"/>
    <x v="1"/>
    <n v="0"/>
    <x v="13"/>
    <s v="Category04"/>
    <s v="Lt"/>
    <n v="55"/>
    <n v="55"/>
    <x v="19"/>
    <n v="330"/>
    <n v="22"/>
    <s v="Jul"/>
    <x v="1"/>
  </r>
  <r>
    <x v="292"/>
    <x v="30"/>
    <x v="13"/>
    <x v="1"/>
    <x v="0"/>
    <n v="0"/>
    <x v="30"/>
    <s v="Category02"/>
    <s v="No."/>
    <n v="37"/>
    <n v="37"/>
    <x v="219"/>
    <n v="74"/>
    <n v="23"/>
    <s v="Jul"/>
    <x v="1"/>
  </r>
  <r>
    <x v="293"/>
    <x v="15"/>
    <x v="12"/>
    <x v="2"/>
    <x v="1"/>
    <n v="0"/>
    <x v="15"/>
    <s v="Category01"/>
    <s v="Kg"/>
    <n v="75"/>
    <n v="75"/>
    <x v="248"/>
    <n v="1050"/>
    <n v="24"/>
    <s v="Jul"/>
    <x v="1"/>
  </r>
  <r>
    <x v="293"/>
    <x v="26"/>
    <x v="5"/>
    <x v="1"/>
    <x v="0"/>
    <n v="0"/>
    <x v="26"/>
    <s v="Category04"/>
    <s v="Lt"/>
    <n v="48"/>
    <n v="48"/>
    <x v="226"/>
    <n v="48"/>
    <n v="24"/>
    <s v="Jul"/>
    <x v="1"/>
  </r>
  <r>
    <x v="294"/>
    <x v="11"/>
    <x v="13"/>
    <x v="2"/>
    <x v="1"/>
    <n v="0"/>
    <x v="11"/>
    <s v="Category05"/>
    <s v="Kg"/>
    <n v="76"/>
    <n v="76"/>
    <x v="249"/>
    <n v="152"/>
    <n v="25"/>
    <s v="Jul"/>
    <x v="1"/>
  </r>
  <r>
    <x v="294"/>
    <x v="39"/>
    <x v="4"/>
    <x v="2"/>
    <x v="1"/>
    <n v="0"/>
    <x v="39"/>
    <s v="Category02"/>
    <s v="Ft"/>
    <n v="134"/>
    <n v="134"/>
    <x v="228"/>
    <n v="1608"/>
    <n v="25"/>
    <s v="Jul"/>
    <x v="1"/>
  </r>
  <r>
    <x v="294"/>
    <x v="6"/>
    <x v="10"/>
    <x v="1"/>
    <x v="1"/>
    <n v="0"/>
    <x v="6"/>
    <s v="Category01"/>
    <s v="Kg"/>
    <n v="71"/>
    <n v="71"/>
    <x v="250"/>
    <n v="923"/>
    <n v="25"/>
    <s v="Jul"/>
    <x v="1"/>
  </r>
  <r>
    <x v="295"/>
    <x v="6"/>
    <x v="9"/>
    <x v="1"/>
    <x v="0"/>
    <n v="0"/>
    <x v="6"/>
    <s v="Category01"/>
    <s v="Kg"/>
    <n v="71"/>
    <n v="71"/>
    <x v="251"/>
    <n v="710"/>
    <n v="26"/>
    <s v="Jul"/>
    <x v="1"/>
  </r>
  <r>
    <x v="295"/>
    <x v="42"/>
    <x v="5"/>
    <x v="1"/>
    <x v="1"/>
    <n v="0"/>
    <x v="42"/>
    <s v="Category04"/>
    <s v="No."/>
    <n v="18"/>
    <n v="18"/>
    <x v="252"/>
    <n v="18"/>
    <n v="26"/>
    <s v="Jul"/>
    <x v="1"/>
  </r>
  <r>
    <x v="296"/>
    <x v="35"/>
    <x v="3"/>
    <x v="2"/>
    <x v="1"/>
    <n v="0"/>
    <x v="35"/>
    <s v="Category02"/>
    <s v="Kg"/>
    <n v="73"/>
    <n v="73"/>
    <x v="229"/>
    <n v="365"/>
    <n v="3"/>
    <s v="Aug"/>
    <x v="1"/>
  </r>
  <r>
    <x v="297"/>
    <x v="21"/>
    <x v="0"/>
    <x v="1"/>
    <x v="0"/>
    <n v="0"/>
    <x v="21"/>
    <s v="Category02"/>
    <s v="No."/>
    <n v="13"/>
    <n v="13"/>
    <x v="253"/>
    <n v="117"/>
    <n v="6"/>
    <s v="Aug"/>
    <x v="1"/>
  </r>
  <r>
    <x v="298"/>
    <x v="21"/>
    <x v="13"/>
    <x v="2"/>
    <x v="0"/>
    <n v="0"/>
    <x v="21"/>
    <s v="Category02"/>
    <s v="No."/>
    <n v="13"/>
    <n v="13"/>
    <x v="212"/>
    <n v="26"/>
    <n v="8"/>
    <s v="Aug"/>
    <x v="1"/>
  </r>
  <r>
    <x v="298"/>
    <x v="18"/>
    <x v="4"/>
    <x v="2"/>
    <x v="1"/>
    <n v="0"/>
    <x v="18"/>
    <s v="Category04"/>
    <s v="Kg"/>
    <n v="89"/>
    <n v="89"/>
    <x v="104"/>
    <n v="1068"/>
    <n v="8"/>
    <s v="Aug"/>
    <x v="1"/>
  </r>
  <r>
    <x v="298"/>
    <x v="32"/>
    <x v="14"/>
    <x v="2"/>
    <x v="1"/>
    <n v="0"/>
    <x v="32"/>
    <s v="Category03"/>
    <s v="Ft"/>
    <n v="126"/>
    <n v="126"/>
    <x v="254"/>
    <n v="1386"/>
    <n v="8"/>
    <s v="Aug"/>
    <x v="1"/>
  </r>
  <r>
    <x v="299"/>
    <x v="28"/>
    <x v="12"/>
    <x v="2"/>
    <x v="1"/>
    <n v="0"/>
    <x v="28"/>
    <s v="Category04"/>
    <s v="Ft"/>
    <n v="148"/>
    <n v="148"/>
    <x v="156"/>
    <n v="2072"/>
    <n v="14"/>
    <s v="Aug"/>
    <x v="1"/>
  </r>
  <r>
    <x v="300"/>
    <x v="31"/>
    <x v="9"/>
    <x v="0"/>
    <x v="1"/>
    <n v="0"/>
    <x v="31"/>
    <s v="Category02"/>
    <s v="Lt"/>
    <n v="44"/>
    <n v="44"/>
    <x v="27"/>
    <n v="440"/>
    <n v="15"/>
    <s v="Aug"/>
    <x v="1"/>
  </r>
  <r>
    <x v="300"/>
    <x v="27"/>
    <x v="11"/>
    <x v="2"/>
    <x v="0"/>
    <n v="0"/>
    <x v="27"/>
    <s v="Category02"/>
    <s v="No."/>
    <n v="12"/>
    <n v="12"/>
    <x v="255"/>
    <n v="84"/>
    <n v="15"/>
    <s v="Aug"/>
    <x v="1"/>
  </r>
  <r>
    <x v="301"/>
    <x v="19"/>
    <x v="6"/>
    <x v="1"/>
    <x v="0"/>
    <n v="0"/>
    <x v="19"/>
    <s v="Category04"/>
    <s v="Lt"/>
    <n v="47"/>
    <n v="47"/>
    <x v="65"/>
    <n v="376"/>
    <n v="18"/>
    <s v="Aug"/>
    <x v="1"/>
  </r>
  <r>
    <x v="301"/>
    <x v="20"/>
    <x v="13"/>
    <x v="1"/>
    <x v="1"/>
    <n v="0"/>
    <x v="20"/>
    <s v="Category02"/>
    <s v="Ft"/>
    <n v="148"/>
    <n v="148"/>
    <x v="48"/>
    <n v="296"/>
    <n v="18"/>
    <s v="Aug"/>
    <x v="1"/>
  </r>
  <r>
    <x v="302"/>
    <x v="36"/>
    <x v="8"/>
    <x v="1"/>
    <x v="0"/>
    <n v="0"/>
    <x v="36"/>
    <s v="Category01"/>
    <s v="Lt"/>
    <n v="43"/>
    <n v="43"/>
    <x v="256"/>
    <n v="129"/>
    <n v="19"/>
    <s v="Aug"/>
    <x v="1"/>
  </r>
  <r>
    <x v="303"/>
    <x v="12"/>
    <x v="10"/>
    <x v="2"/>
    <x v="0"/>
    <n v="0"/>
    <x v="12"/>
    <s v="Category03"/>
    <s v="Ft"/>
    <n v="141"/>
    <n v="141"/>
    <x v="96"/>
    <n v="1833"/>
    <n v="20"/>
    <s v="Aug"/>
    <x v="1"/>
  </r>
  <r>
    <x v="303"/>
    <x v="38"/>
    <x v="12"/>
    <x v="2"/>
    <x v="0"/>
    <n v="0"/>
    <x v="38"/>
    <s v="Category04"/>
    <s v="Kg"/>
    <n v="95"/>
    <n v="95"/>
    <x v="257"/>
    <n v="1330"/>
    <n v="20"/>
    <s v="Aug"/>
    <x v="1"/>
  </r>
  <r>
    <x v="304"/>
    <x v="21"/>
    <x v="7"/>
    <x v="2"/>
    <x v="0"/>
    <n v="0"/>
    <x v="21"/>
    <s v="Category02"/>
    <s v="No."/>
    <n v="13"/>
    <n v="13"/>
    <x v="111"/>
    <n v="52"/>
    <n v="21"/>
    <s v="Aug"/>
    <x v="1"/>
  </r>
  <r>
    <x v="305"/>
    <x v="11"/>
    <x v="14"/>
    <x v="1"/>
    <x v="0"/>
    <n v="0"/>
    <x v="11"/>
    <s v="Category05"/>
    <s v="Kg"/>
    <n v="76"/>
    <n v="76"/>
    <x v="258"/>
    <n v="836"/>
    <n v="23"/>
    <s v="Aug"/>
    <x v="1"/>
  </r>
  <r>
    <x v="305"/>
    <x v="19"/>
    <x v="12"/>
    <x v="2"/>
    <x v="1"/>
    <n v="0"/>
    <x v="19"/>
    <s v="Category04"/>
    <s v="Lt"/>
    <n v="47"/>
    <n v="47"/>
    <x v="184"/>
    <n v="658"/>
    <n v="23"/>
    <s v="Aug"/>
    <x v="1"/>
  </r>
  <r>
    <x v="306"/>
    <x v="24"/>
    <x v="3"/>
    <x v="2"/>
    <x v="1"/>
    <n v="0"/>
    <x v="24"/>
    <s v="Category01"/>
    <s v="Ft"/>
    <n v="133"/>
    <n v="133"/>
    <x v="259"/>
    <n v="665"/>
    <n v="24"/>
    <s v="Aug"/>
    <x v="1"/>
  </r>
  <r>
    <x v="307"/>
    <x v="40"/>
    <x v="10"/>
    <x v="0"/>
    <x v="1"/>
    <n v="0"/>
    <x v="40"/>
    <s v="Category02"/>
    <s v="Ft"/>
    <n v="150"/>
    <n v="150"/>
    <x v="83"/>
    <n v="1950"/>
    <n v="26"/>
    <s v="Aug"/>
    <x v="1"/>
  </r>
  <r>
    <x v="307"/>
    <x v="8"/>
    <x v="6"/>
    <x v="1"/>
    <x v="0"/>
    <n v="0"/>
    <x v="8"/>
    <s v="Category05"/>
    <s v="Kg"/>
    <n v="67"/>
    <n v="67"/>
    <x v="124"/>
    <n v="536"/>
    <n v="26"/>
    <s v="Aug"/>
    <x v="1"/>
  </r>
  <r>
    <x v="308"/>
    <x v="34"/>
    <x v="1"/>
    <x v="0"/>
    <x v="0"/>
    <n v="0"/>
    <x v="34"/>
    <s v="Category05"/>
    <s v="No."/>
    <n v="37"/>
    <n v="37"/>
    <x v="81"/>
    <n v="555"/>
    <n v="27"/>
    <s v="Aug"/>
    <x v="1"/>
  </r>
  <r>
    <x v="309"/>
    <x v="24"/>
    <x v="0"/>
    <x v="1"/>
    <x v="0"/>
    <n v="0"/>
    <x v="24"/>
    <s v="Category01"/>
    <s v="Ft"/>
    <n v="133"/>
    <n v="133"/>
    <x v="199"/>
    <n v="1197"/>
    <n v="28"/>
    <s v="Aug"/>
    <x v="1"/>
  </r>
  <r>
    <x v="309"/>
    <x v="34"/>
    <x v="3"/>
    <x v="2"/>
    <x v="0"/>
    <n v="0"/>
    <x v="34"/>
    <s v="Category05"/>
    <s v="No."/>
    <n v="37"/>
    <n v="37"/>
    <x v="260"/>
    <n v="185"/>
    <n v="28"/>
    <s v="Aug"/>
    <x v="1"/>
  </r>
  <r>
    <x v="310"/>
    <x v="15"/>
    <x v="2"/>
    <x v="1"/>
    <x v="1"/>
    <n v="0"/>
    <x v="15"/>
    <s v="Category01"/>
    <s v="Kg"/>
    <n v="75"/>
    <n v="75"/>
    <x v="132"/>
    <n v="450"/>
    <n v="30"/>
    <s v="Aug"/>
    <x v="1"/>
  </r>
  <r>
    <x v="310"/>
    <x v="23"/>
    <x v="2"/>
    <x v="2"/>
    <x v="1"/>
    <n v="0"/>
    <x v="23"/>
    <s v="Category05"/>
    <s v="Kg"/>
    <n v="67"/>
    <n v="67"/>
    <x v="80"/>
    <n v="402"/>
    <n v="30"/>
    <s v="Aug"/>
    <x v="1"/>
  </r>
  <r>
    <x v="310"/>
    <x v="7"/>
    <x v="3"/>
    <x v="2"/>
    <x v="1"/>
    <n v="0"/>
    <x v="7"/>
    <s v="Category03"/>
    <s v="No."/>
    <n v="7"/>
    <n v="7"/>
    <x v="20"/>
    <n v="35"/>
    <n v="30"/>
    <s v="Aug"/>
    <x v="1"/>
  </r>
  <r>
    <x v="311"/>
    <x v="27"/>
    <x v="10"/>
    <x v="2"/>
    <x v="1"/>
    <n v="0"/>
    <x v="27"/>
    <s v="Category02"/>
    <s v="No."/>
    <n v="12"/>
    <n v="12"/>
    <x v="87"/>
    <n v="156"/>
    <n v="31"/>
    <s v="Aug"/>
    <x v="1"/>
  </r>
  <r>
    <x v="312"/>
    <x v="29"/>
    <x v="5"/>
    <x v="2"/>
    <x v="1"/>
    <n v="0"/>
    <x v="29"/>
    <s v="Category01"/>
    <s v="Kg"/>
    <n v="105"/>
    <n v="105"/>
    <x v="261"/>
    <n v="105"/>
    <n v="4"/>
    <s v="Sep"/>
    <x v="1"/>
  </r>
  <r>
    <x v="313"/>
    <x v="24"/>
    <x v="4"/>
    <x v="0"/>
    <x v="0"/>
    <n v="0"/>
    <x v="24"/>
    <s v="Category01"/>
    <s v="Ft"/>
    <n v="133"/>
    <n v="133"/>
    <x v="262"/>
    <n v="1596"/>
    <n v="6"/>
    <s v="Sep"/>
    <x v="1"/>
  </r>
  <r>
    <x v="314"/>
    <x v="41"/>
    <x v="0"/>
    <x v="2"/>
    <x v="0"/>
    <n v="0"/>
    <x v="41"/>
    <s v="Category05"/>
    <s v="Ft"/>
    <n v="138"/>
    <n v="138"/>
    <x v="198"/>
    <n v="1242"/>
    <n v="9"/>
    <s v="Sep"/>
    <x v="1"/>
  </r>
  <r>
    <x v="314"/>
    <x v="6"/>
    <x v="8"/>
    <x v="2"/>
    <x v="0"/>
    <n v="0"/>
    <x v="6"/>
    <s v="Category01"/>
    <s v="Kg"/>
    <n v="71"/>
    <n v="71"/>
    <x v="134"/>
    <n v="213"/>
    <n v="9"/>
    <s v="Sep"/>
    <x v="1"/>
  </r>
  <r>
    <x v="315"/>
    <x v="4"/>
    <x v="1"/>
    <x v="1"/>
    <x v="1"/>
    <n v="0"/>
    <x v="4"/>
    <s v="Category04"/>
    <s v="No."/>
    <n v="5"/>
    <n v="5"/>
    <x v="93"/>
    <n v="75"/>
    <n v="10"/>
    <s v="Sep"/>
    <x v="1"/>
  </r>
  <r>
    <x v="315"/>
    <x v="1"/>
    <x v="7"/>
    <x v="2"/>
    <x v="1"/>
    <n v="0"/>
    <x v="1"/>
    <s v="Category05"/>
    <s v="Kg"/>
    <n v="72"/>
    <n v="72"/>
    <x v="52"/>
    <n v="288"/>
    <n v="10"/>
    <s v="Sep"/>
    <x v="1"/>
  </r>
  <r>
    <x v="316"/>
    <x v="19"/>
    <x v="8"/>
    <x v="2"/>
    <x v="1"/>
    <n v="0"/>
    <x v="19"/>
    <s v="Category04"/>
    <s v="Lt"/>
    <n v="47"/>
    <n v="47"/>
    <x v="182"/>
    <n v="141"/>
    <n v="14"/>
    <s v="Sep"/>
    <x v="1"/>
  </r>
  <r>
    <x v="317"/>
    <x v="8"/>
    <x v="1"/>
    <x v="1"/>
    <x v="0"/>
    <n v="0"/>
    <x v="8"/>
    <s v="Category05"/>
    <s v="Kg"/>
    <n v="67"/>
    <n v="67"/>
    <x v="207"/>
    <n v="1005"/>
    <n v="15"/>
    <s v="Sep"/>
    <x v="1"/>
  </r>
  <r>
    <x v="318"/>
    <x v="42"/>
    <x v="12"/>
    <x v="1"/>
    <x v="1"/>
    <n v="0"/>
    <x v="42"/>
    <s v="Category04"/>
    <s v="No."/>
    <n v="18"/>
    <n v="18"/>
    <x v="115"/>
    <n v="252"/>
    <n v="18"/>
    <s v="Sep"/>
    <x v="1"/>
  </r>
  <r>
    <x v="319"/>
    <x v="38"/>
    <x v="6"/>
    <x v="0"/>
    <x v="1"/>
    <n v="0"/>
    <x v="38"/>
    <s v="Category04"/>
    <s v="Kg"/>
    <n v="95"/>
    <n v="95"/>
    <x v="131"/>
    <n v="760"/>
    <n v="19"/>
    <s v="Sep"/>
    <x v="1"/>
  </r>
  <r>
    <x v="320"/>
    <x v="38"/>
    <x v="2"/>
    <x v="2"/>
    <x v="0"/>
    <n v="0"/>
    <x v="38"/>
    <s v="Category04"/>
    <s v="Kg"/>
    <n v="95"/>
    <n v="95"/>
    <x v="102"/>
    <n v="570"/>
    <n v="20"/>
    <s v="Sep"/>
    <x v="1"/>
  </r>
  <r>
    <x v="320"/>
    <x v="16"/>
    <x v="9"/>
    <x v="2"/>
    <x v="0"/>
    <n v="0"/>
    <x v="16"/>
    <s v="Category01"/>
    <s v="Kg"/>
    <n v="98"/>
    <n v="98"/>
    <x v="263"/>
    <n v="980"/>
    <n v="20"/>
    <s v="Sep"/>
    <x v="1"/>
  </r>
  <r>
    <x v="321"/>
    <x v="30"/>
    <x v="12"/>
    <x v="1"/>
    <x v="0"/>
    <n v="0"/>
    <x v="30"/>
    <s v="Category02"/>
    <s v="No."/>
    <n v="37"/>
    <n v="37"/>
    <x v="128"/>
    <n v="518"/>
    <n v="21"/>
    <s v="Sep"/>
    <x v="1"/>
  </r>
  <r>
    <x v="321"/>
    <x v="42"/>
    <x v="3"/>
    <x v="2"/>
    <x v="1"/>
    <n v="0"/>
    <x v="42"/>
    <s v="Category04"/>
    <s v="No."/>
    <n v="18"/>
    <n v="18"/>
    <x v="264"/>
    <n v="90"/>
    <n v="21"/>
    <s v="Sep"/>
    <x v="1"/>
  </r>
  <r>
    <x v="322"/>
    <x v="23"/>
    <x v="4"/>
    <x v="1"/>
    <x v="0"/>
    <n v="0"/>
    <x v="23"/>
    <s v="Category05"/>
    <s v="Kg"/>
    <n v="67"/>
    <n v="67"/>
    <x v="242"/>
    <n v="804"/>
    <n v="22"/>
    <s v="Sep"/>
    <x v="1"/>
  </r>
  <r>
    <x v="323"/>
    <x v="35"/>
    <x v="4"/>
    <x v="2"/>
    <x v="0"/>
    <n v="0"/>
    <x v="35"/>
    <s v="Category02"/>
    <s v="Kg"/>
    <n v="73"/>
    <n v="73"/>
    <x v="265"/>
    <n v="876"/>
    <n v="23"/>
    <s v="Sep"/>
    <x v="1"/>
  </r>
  <r>
    <x v="324"/>
    <x v="18"/>
    <x v="12"/>
    <x v="2"/>
    <x v="0"/>
    <n v="0"/>
    <x v="18"/>
    <s v="Category04"/>
    <s v="Kg"/>
    <n v="89"/>
    <n v="89"/>
    <x v="201"/>
    <n v="1246"/>
    <n v="24"/>
    <s v="Sep"/>
    <x v="1"/>
  </r>
  <r>
    <x v="324"/>
    <x v="18"/>
    <x v="6"/>
    <x v="2"/>
    <x v="1"/>
    <n v="0"/>
    <x v="18"/>
    <s v="Category04"/>
    <s v="Kg"/>
    <n v="89"/>
    <n v="89"/>
    <x v="266"/>
    <n v="712"/>
    <n v="24"/>
    <s v="Sep"/>
    <x v="1"/>
  </r>
  <r>
    <x v="325"/>
    <x v="43"/>
    <x v="7"/>
    <x v="2"/>
    <x v="1"/>
    <n v="0"/>
    <x v="43"/>
    <s v="Category04"/>
    <s v="Kg"/>
    <n v="90"/>
    <n v="90"/>
    <x v="72"/>
    <n v="360"/>
    <n v="27"/>
    <s v="Sep"/>
    <x v="1"/>
  </r>
  <r>
    <x v="325"/>
    <x v="11"/>
    <x v="0"/>
    <x v="2"/>
    <x v="1"/>
    <n v="0"/>
    <x v="11"/>
    <s v="Category05"/>
    <s v="Kg"/>
    <n v="76"/>
    <n v="76"/>
    <x v="22"/>
    <n v="684"/>
    <n v="27"/>
    <s v="Sep"/>
    <x v="1"/>
  </r>
  <r>
    <x v="325"/>
    <x v="1"/>
    <x v="8"/>
    <x v="0"/>
    <x v="1"/>
    <n v="0"/>
    <x v="1"/>
    <s v="Category05"/>
    <s v="Kg"/>
    <n v="72"/>
    <n v="72"/>
    <x v="267"/>
    <n v="216"/>
    <n v="27"/>
    <s v="Sep"/>
    <x v="1"/>
  </r>
  <r>
    <x v="326"/>
    <x v="13"/>
    <x v="10"/>
    <x v="2"/>
    <x v="0"/>
    <n v="0"/>
    <x v="13"/>
    <s v="Category04"/>
    <s v="Lt"/>
    <n v="55"/>
    <n v="55"/>
    <x v="268"/>
    <n v="715"/>
    <n v="29"/>
    <s v="Sep"/>
    <x v="1"/>
  </r>
  <r>
    <x v="327"/>
    <x v="31"/>
    <x v="3"/>
    <x v="2"/>
    <x v="1"/>
    <n v="0"/>
    <x v="31"/>
    <s v="Category02"/>
    <s v="Lt"/>
    <n v="44"/>
    <n v="44"/>
    <x v="3"/>
    <n v="220"/>
    <n v="3"/>
    <s v="Oct"/>
    <x v="1"/>
  </r>
  <r>
    <x v="328"/>
    <x v="36"/>
    <x v="1"/>
    <x v="2"/>
    <x v="0"/>
    <n v="0"/>
    <x v="36"/>
    <s v="Category01"/>
    <s v="Lt"/>
    <n v="43"/>
    <n v="43"/>
    <x v="171"/>
    <n v="645"/>
    <n v="4"/>
    <s v="Oct"/>
    <x v="1"/>
  </r>
  <r>
    <x v="329"/>
    <x v="4"/>
    <x v="5"/>
    <x v="2"/>
    <x v="0"/>
    <n v="0"/>
    <x v="4"/>
    <s v="Category04"/>
    <s v="No."/>
    <n v="5"/>
    <n v="5"/>
    <x v="36"/>
    <n v="5"/>
    <n v="6"/>
    <s v="Oct"/>
    <x v="1"/>
  </r>
  <r>
    <x v="330"/>
    <x v="1"/>
    <x v="12"/>
    <x v="1"/>
    <x v="0"/>
    <n v="0"/>
    <x v="1"/>
    <s v="Category05"/>
    <s v="Kg"/>
    <n v="72"/>
    <n v="72"/>
    <x v="154"/>
    <n v="1008"/>
    <n v="9"/>
    <s v="Oct"/>
    <x v="1"/>
  </r>
  <r>
    <x v="331"/>
    <x v="40"/>
    <x v="0"/>
    <x v="2"/>
    <x v="0"/>
    <n v="0"/>
    <x v="40"/>
    <s v="Category02"/>
    <s v="Ft"/>
    <n v="150"/>
    <n v="150"/>
    <x v="157"/>
    <n v="1350"/>
    <n v="10"/>
    <s v="Oct"/>
    <x v="1"/>
  </r>
  <r>
    <x v="331"/>
    <x v="11"/>
    <x v="4"/>
    <x v="1"/>
    <x v="0"/>
    <n v="0"/>
    <x v="11"/>
    <s v="Category05"/>
    <s v="Kg"/>
    <n v="76"/>
    <n v="76"/>
    <x v="269"/>
    <n v="912"/>
    <n v="10"/>
    <s v="Oct"/>
    <x v="1"/>
  </r>
  <r>
    <x v="332"/>
    <x v="25"/>
    <x v="9"/>
    <x v="2"/>
    <x v="0"/>
    <n v="0"/>
    <x v="25"/>
    <s v="Category01"/>
    <s v="Kg"/>
    <n v="83"/>
    <n v="83"/>
    <x v="270"/>
    <n v="830"/>
    <n v="11"/>
    <s v="Oct"/>
    <x v="1"/>
  </r>
  <r>
    <x v="333"/>
    <x v="29"/>
    <x v="1"/>
    <x v="1"/>
    <x v="0"/>
    <n v="0"/>
    <x v="29"/>
    <s v="Category01"/>
    <s v="Kg"/>
    <n v="105"/>
    <n v="105"/>
    <x v="271"/>
    <n v="1575"/>
    <n v="13"/>
    <s v="Oct"/>
    <x v="1"/>
  </r>
  <r>
    <x v="334"/>
    <x v="11"/>
    <x v="1"/>
    <x v="0"/>
    <x v="0"/>
    <n v="0"/>
    <x v="11"/>
    <s v="Category05"/>
    <s v="Kg"/>
    <n v="76"/>
    <n v="76"/>
    <x v="125"/>
    <n v="1140"/>
    <n v="14"/>
    <s v="Oct"/>
    <x v="1"/>
  </r>
  <r>
    <x v="335"/>
    <x v="27"/>
    <x v="9"/>
    <x v="2"/>
    <x v="1"/>
    <n v="0"/>
    <x v="27"/>
    <s v="Category02"/>
    <s v="No."/>
    <n v="12"/>
    <n v="12"/>
    <x v="68"/>
    <n v="120"/>
    <n v="15"/>
    <s v="Oct"/>
    <x v="1"/>
  </r>
  <r>
    <x v="336"/>
    <x v="43"/>
    <x v="8"/>
    <x v="1"/>
    <x v="0"/>
    <n v="0"/>
    <x v="43"/>
    <s v="Category04"/>
    <s v="Kg"/>
    <n v="90"/>
    <n v="90"/>
    <x v="272"/>
    <n v="270"/>
    <n v="16"/>
    <s v="Oct"/>
    <x v="1"/>
  </r>
  <r>
    <x v="337"/>
    <x v="0"/>
    <x v="12"/>
    <x v="1"/>
    <x v="1"/>
    <n v="0"/>
    <x v="0"/>
    <s v="Category03"/>
    <s v="Ft"/>
    <n v="144"/>
    <n v="144"/>
    <x v="63"/>
    <n v="2016"/>
    <n v="23"/>
    <s v="Oct"/>
    <x v="1"/>
  </r>
  <r>
    <x v="338"/>
    <x v="10"/>
    <x v="8"/>
    <x v="2"/>
    <x v="1"/>
    <n v="0"/>
    <x v="10"/>
    <s v="Category05"/>
    <s v="Ft"/>
    <n v="120"/>
    <n v="120"/>
    <x v="72"/>
    <n v="360"/>
    <n v="30"/>
    <s v="Oct"/>
    <x v="1"/>
  </r>
  <r>
    <x v="339"/>
    <x v="1"/>
    <x v="6"/>
    <x v="2"/>
    <x v="0"/>
    <n v="0"/>
    <x v="1"/>
    <s v="Category05"/>
    <s v="Kg"/>
    <n v="72"/>
    <n v="72"/>
    <x v="233"/>
    <n v="576"/>
    <n v="31"/>
    <s v="Oct"/>
    <x v="1"/>
  </r>
  <r>
    <x v="340"/>
    <x v="35"/>
    <x v="1"/>
    <x v="0"/>
    <x v="0"/>
    <n v="0"/>
    <x v="35"/>
    <s v="Category02"/>
    <s v="Kg"/>
    <n v="73"/>
    <n v="73"/>
    <x v="273"/>
    <n v="1095"/>
    <n v="1"/>
    <s v="Nov"/>
    <x v="1"/>
  </r>
  <r>
    <x v="341"/>
    <x v="27"/>
    <x v="1"/>
    <x v="0"/>
    <x v="1"/>
    <n v="0"/>
    <x v="27"/>
    <s v="Category02"/>
    <s v="No."/>
    <n v="12"/>
    <n v="12"/>
    <x v="153"/>
    <n v="180"/>
    <n v="2"/>
    <s v="Nov"/>
    <x v="1"/>
  </r>
  <r>
    <x v="341"/>
    <x v="28"/>
    <x v="1"/>
    <x v="2"/>
    <x v="1"/>
    <n v="0"/>
    <x v="28"/>
    <s v="Category04"/>
    <s v="Ft"/>
    <n v="148"/>
    <n v="148"/>
    <x v="194"/>
    <n v="2220"/>
    <n v="2"/>
    <s v="Nov"/>
    <x v="1"/>
  </r>
  <r>
    <x v="341"/>
    <x v="4"/>
    <x v="3"/>
    <x v="2"/>
    <x v="1"/>
    <n v="0"/>
    <x v="4"/>
    <s v="Category04"/>
    <s v="No."/>
    <n v="5"/>
    <n v="5"/>
    <x v="274"/>
    <n v="25"/>
    <n v="2"/>
    <s v="Nov"/>
    <x v="1"/>
  </r>
  <r>
    <x v="342"/>
    <x v="14"/>
    <x v="14"/>
    <x v="1"/>
    <x v="0"/>
    <n v="0"/>
    <x v="14"/>
    <s v="Category03"/>
    <s v="Lt"/>
    <n v="61"/>
    <n v="61"/>
    <x v="275"/>
    <n v="671"/>
    <n v="3"/>
    <s v="Nov"/>
    <x v="1"/>
  </r>
  <r>
    <x v="343"/>
    <x v="25"/>
    <x v="9"/>
    <x v="2"/>
    <x v="0"/>
    <n v="0"/>
    <x v="25"/>
    <s v="Category01"/>
    <s v="Kg"/>
    <n v="83"/>
    <n v="83"/>
    <x v="270"/>
    <n v="830"/>
    <n v="4"/>
    <s v="Nov"/>
    <x v="1"/>
  </r>
  <r>
    <x v="344"/>
    <x v="40"/>
    <x v="1"/>
    <x v="2"/>
    <x v="1"/>
    <n v="0"/>
    <x v="40"/>
    <s v="Category02"/>
    <s v="Ft"/>
    <n v="150"/>
    <n v="150"/>
    <x v="276"/>
    <n v="2250"/>
    <n v="5"/>
    <s v="Nov"/>
    <x v="1"/>
  </r>
  <r>
    <x v="345"/>
    <x v="23"/>
    <x v="10"/>
    <x v="2"/>
    <x v="1"/>
    <n v="0"/>
    <x v="23"/>
    <s v="Category05"/>
    <s v="Kg"/>
    <n v="67"/>
    <n v="67"/>
    <x v="277"/>
    <n v="871"/>
    <n v="6"/>
    <s v="Nov"/>
    <x v="1"/>
  </r>
  <r>
    <x v="345"/>
    <x v="27"/>
    <x v="10"/>
    <x v="1"/>
    <x v="0"/>
    <n v="0"/>
    <x v="27"/>
    <s v="Category02"/>
    <s v="No."/>
    <n v="12"/>
    <n v="12"/>
    <x v="87"/>
    <n v="156"/>
    <n v="6"/>
    <s v="Nov"/>
    <x v="1"/>
  </r>
  <r>
    <x v="345"/>
    <x v="10"/>
    <x v="10"/>
    <x v="2"/>
    <x v="1"/>
    <n v="0"/>
    <x v="10"/>
    <s v="Category05"/>
    <s v="Ft"/>
    <n v="120"/>
    <n v="120"/>
    <x v="278"/>
    <n v="1560"/>
    <n v="6"/>
    <s v="Nov"/>
    <x v="1"/>
  </r>
  <r>
    <x v="346"/>
    <x v="17"/>
    <x v="10"/>
    <x v="1"/>
    <x v="1"/>
    <n v="0"/>
    <x v="17"/>
    <s v="Category05"/>
    <s v="Kg"/>
    <n v="90"/>
    <n v="90"/>
    <x v="279"/>
    <n v="1170"/>
    <n v="7"/>
    <s v="Nov"/>
    <x v="1"/>
  </r>
  <r>
    <x v="347"/>
    <x v="43"/>
    <x v="14"/>
    <x v="0"/>
    <x v="1"/>
    <n v="0"/>
    <x v="43"/>
    <s v="Category04"/>
    <s v="Kg"/>
    <n v="90"/>
    <n v="90"/>
    <x v="95"/>
    <n v="990"/>
    <n v="8"/>
    <s v="Nov"/>
    <x v="1"/>
  </r>
  <r>
    <x v="347"/>
    <x v="40"/>
    <x v="9"/>
    <x v="0"/>
    <x v="0"/>
    <n v="0"/>
    <x v="40"/>
    <s v="Category02"/>
    <s v="Ft"/>
    <n v="150"/>
    <n v="150"/>
    <x v="280"/>
    <n v="1500"/>
    <n v="8"/>
    <s v="Nov"/>
    <x v="1"/>
  </r>
  <r>
    <x v="348"/>
    <x v="26"/>
    <x v="6"/>
    <x v="1"/>
    <x v="1"/>
    <n v="0"/>
    <x v="26"/>
    <s v="Category04"/>
    <s v="Lt"/>
    <n v="48"/>
    <n v="48"/>
    <x v="159"/>
    <n v="384"/>
    <n v="9"/>
    <s v="Nov"/>
    <x v="1"/>
  </r>
  <r>
    <x v="349"/>
    <x v="30"/>
    <x v="11"/>
    <x v="2"/>
    <x v="0"/>
    <n v="0"/>
    <x v="30"/>
    <s v="Category02"/>
    <s v="No."/>
    <n v="37"/>
    <n v="37"/>
    <x v="60"/>
    <n v="259"/>
    <n v="10"/>
    <s v="Nov"/>
    <x v="1"/>
  </r>
  <r>
    <x v="350"/>
    <x v="26"/>
    <x v="9"/>
    <x v="0"/>
    <x v="1"/>
    <n v="0"/>
    <x v="26"/>
    <s v="Category04"/>
    <s v="Lt"/>
    <n v="48"/>
    <n v="48"/>
    <x v="10"/>
    <n v="480"/>
    <n v="13"/>
    <s v="Nov"/>
    <x v="1"/>
  </r>
  <r>
    <x v="351"/>
    <x v="29"/>
    <x v="5"/>
    <x v="2"/>
    <x v="1"/>
    <n v="0"/>
    <x v="29"/>
    <s v="Category01"/>
    <s v="Kg"/>
    <n v="105"/>
    <n v="105"/>
    <x v="261"/>
    <n v="105"/>
    <n v="14"/>
    <s v="Nov"/>
    <x v="1"/>
  </r>
  <r>
    <x v="352"/>
    <x v="35"/>
    <x v="12"/>
    <x v="2"/>
    <x v="1"/>
    <n v="0"/>
    <x v="35"/>
    <s v="Category02"/>
    <s v="Kg"/>
    <n v="73"/>
    <n v="73"/>
    <x v="56"/>
    <n v="1022"/>
    <n v="15"/>
    <s v="Nov"/>
    <x v="1"/>
  </r>
  <r>
    <x v="353"/>
    <x v="39"/>
    <x v="6"/>
    <x v="1"/>
    <x v="0"/>
    <n v="0"/>
    <x v="39"/>
    <s v="Category02"/>
    <s v="Ft"/>
    <n v="134"/>
    <n v="134"/>
    <x v="281"/>
    <n v="1072"/>
    <n v="16"/>
    <s v="Nov"/>
    <x v="1"/>
  </r>
  <r>
    <x v="354"/>
    <x v="13"/>
    <x v="6"/>
    <x v="2"/>
    <x v="1"/>
    <n v="0"/>
    <x v="13"/>
    <s v="Category04"/>
    <s v="Lt"/>
    <n v="55"/>
    <n v="55"/>
    <x v="27"/>
    <n v="440"/>
    <n v="18"/>
    <s v="Nov"/>
    <x v="1"/>
  </r>
  <r>
    <x v="355"/>
    <x v="14"/>
    <x v="2"/>
    <x v="2"/>
    <x v="1"/>
    <n v="0"/>
    <x v="14"/>
    <s v="Category03"/>
    <s v="Lt"/>
    <n v="61"/>
    <n v="61"/>
    <x v="282"/>
    <n v="366"/>
    <n v="21"/>
    <s v="Nov"/>
    <x v="1"/>
  </r>
  <r>
    <x v="356"/>
    <x v="43"/>
    <x v="4"/>
    <x v="1"/>
    <x v="0"/>
    <n v="0"/>
    <x v="43"/>
    <s v="Category04"/>
    <s v="Kg"/>
    <n v="90"/>
    <n v="90"/>
    <x v="1"/>
    <n v="1080"/>
    <n v="23"/>
    <s v="Nov"/>
    <x v="1"/>
  </r>
  <r>
    <x v="357"/>
    <x v="3"/>
    <x v="3"/>
    <x v="2"/>
    <x v="1"/>
    <n v="0"/>
    <x v="3"/>
    <s v="Category01"/>
    <s v="Lt"/>
    <n v="44"/>
    <n v="44"/>
    <x v="3"/>
    <n v="220"/>
    <n v="25"/>
    <s v="Nov"/>
    <x v="1"/>
  </r>
  <r>
    <x v="358"/>
    <x v="18"/>
    <x v="3"/>
    <x v="2"/>
    <x v="0"/>
    <n v="0"/>
    <x v="18"/>
    <s v="Category04"/>
    <s v="Kg"/>
    <n v="89"/>
    <n v="89"/>
    <x v="283"/>
    <n v="445"/>
    <n v="26"/>
    <s v="Nov"/>
    <x v="1"/>
  </r>
  <r>
    <x v="359"/>
    <x v="13"/>
    <x v="1"/>
    <x v="2"/>
    <x v="0"/>
    <n v="0"/>
    <x v="13"/>
    <s v="Category04"/>
    <s v="Lt"/>
    <n v="55"/>
    <n v="55"/>
    <x v="284"/>
    <n v="825"/>
    <n v="27"/>
    <s v="Nov"/>
    <x v="1"/>
  </r>
  <r>
    <x v="360"/>
    <x v="5"/>
    <x v="6"/>
    <x v="2"/>
    <x v="1"/>
    <n v="0"/>
    <x v="5"/>
    <s v="Category04"/>
    <s v="Kg"/>
    <n v="93"/>
    <n v="93"/>
    <x v="285"/>
    <n v="744"/>
    <n v="28"/>
    <s v="Nov"/>
    <x v="1"/>
  </r>
  <r>
    <x v="361"/>
    <x v="27"/>
    <x v="13"/>
    <x v="2"/>
    <x v="0"/>
    <n v="0"/>
    <x v="27"/>
    <s v="Category02"/>
    <s v="No."/>
    <n v="12"/>
    <n v="12"/>
    <x v="118"/>
    <n v="24"/>
    <n v="30"/>
    <s v="Nov"/>
    <x v="1"/>
  </r>
  <r>
    <x v="362"/>
    <x v="33"/>
    <x v="3"/>
    <x v="0"/>
    <x v="1"/>
    <n v="0"/>
    <x v="33"/>
    <s v="Category04"/>
    <s v="No."/>
    <n v="37"/>
    <n v="37"/>
    <x v="260"/>
    <n v="185"/>
    <n v="3"/>
    <s v="Dec"/>
    <x v="1"/>
  </r>
  <r>
    <x v="363"/>
    <x v="42"/>
    <x v="9"/>
    <x v="2"/>
    <x v="1"/>
    <n v="0"/>
    <x v="42"/>
    <s v="Category04"/>
    <s v="No."/>
    <n v="18"/>
    <n v="18"/>
    <x v="153"/>
    <n v="180"/>
    <n v="4"/>
    <s v="Dec"/>
    <x v="1"/>
  </r>
  <r>
    <x v="363"/>
    <x v="11"/>
    <x v="1"/>
    <x v="2"/>
    <x v="1"/>
    <n v="0"/>
    <x v="11"/>
    <s v="Category05"/>
    <s v="Kg"/>
    <n v="76"/>
    <n v="76"/>
    <x v="125"/>
    <n v="1140"/>
    <n v="4"/>
    <s v="Dec"/>
    <x v="1"/>
  </r>
  <r>
    <x v="364"/>
    <x v="1"/>
    <x v="4"/>
    <x v="2"/>
    <x v="1"/>
    <n v="0"/>
    <x v="1"/>
    <s v="Category05"/>
    <s v="Kg"/>
    <n v="72"/>
    <n v="72"/>
    <x v="286"/>
    <n v="864"/>
    <n v="7"/>
    <s v="Dec"/>
    <x v="1"/>
  </r>
  <r>
    <x v="364"/>
    <x v="21"/>
    <x v="10"/>
    <x v="2"/>
    <x v="0"/>
    <n v="0"/>
    <x v="21"/>
    <s v="Category02"/>
    <s v="No."/>
    <n v="13"/>
    <n v="13"/>
    <x v="30"/>
    <n v="169"/>
    <n v="7"/>
    <s v="Dec"/>
    <x v="1"/>
  </r>
  <r>
    <x v="364"/>
    <x v="1"/>
    <x v="3"/>
    <x v="2"/>
    <x v="1"/>
    <n v="0"/>
    <x v="1"/>
    <s v="Category05"/>
    <s v="Kg"/>
    <n v="72"/>
    <n v="72"/>
    <x v="72"/>
    <n v="360"/>
    <n v="7"/>
    <s v="Dec"/>
    <x v="1"/>
  </r>
  <r>
    <x v="365"/>
    <x v="26"/>
    <x v="3"/>
    <x v="2"/>
    <x v="0"/>
    <n v="0"/>
    <x v="26"/>
    <s v="Category04"/>
    <s v="Lt"/>
    <n v="48"/>
    <n v="48"/>
    <x v="94"/>
    <n v="240"/>
    <n v="11"/>
    <s v="Dec"/>
    <x v="1"/>
  </r>
  <r>
    <x v="365"/>
    <x v="2"/>
    <x v="0"/>
    <x v="0"/>
    <x v="0"/>
    <n v="0"/>
    <x v="2"/>
    <s v="Category02"/>
    <s v="Kg"/>
    <n v="112"/>
    <n v="112"/>
    <x v="154"/>
    <n v="1008"/>
    <n v="11"/>
    <s v="Dec"/>
    <x v="1"/>
  </r>
  <r>
    <x v="365"/>
    <x v="9"/>
    <x v="9"/>
    <x v="1"/>
    <x v="1"/>
    <n v="0"/>
    <x v="9"/>
    <s v="Category02"/>
    <s v="Kg"/>
    <n v="112"/>
    <n v="112"/>
    <x v="287"/>
    <n v="1120"/>
    <n v="11"/>
    <s v="Dec"/>
    <x v="1"/>
  </r>
  <r>
    <x v="366"/>
    <x v="28"/>
    <x v="0"/>
    <x v="0"/>
    <x v="1"/>
    <n v="0"/>
    <x v="28"/>
    <s v="Category04"/>
    <s v="Ft"/>
    <n v="148"/>
    <n v="148"/>
    <x v="69"/>
    <n v="1332"/>
    <n v="12"/>
    <s v="Dec"/>
    <x v="1"/>
  </r>
  <r>
    <x v="366"/>
    <x v="41"/>
    <x v="9"/>
    <x v="0"/>
    <x v="0"/>
    <n v="0"/>
    <x v="41"/>
    <s v="Category05"/>
    <s v="Ft"/>
    <n v="138"/>
    <n v="138"/>
    <x v="235"/>
    <n v="1380"/>
    <n v="12"/>
    <s v="Dec"/>
    <x v="1"/>
  </r>
  <r>
    <x v="367"/>
    <x v="24"/>
    <x v="7"/>
    <x v="2"/>
    <x v="1"/>
    <n v="0"/>
    <x v="24"/>
    <s v="Category01"/>
    <s v="Ft"/>
    <n v="133"/>
    <n v="133"/>
    <x v="130"/>
    <n v="532"/>
    <n v="14"/>
    <s v="Dec"/>
    <x v="1"/>
  </r>
  <r>
    <x v="368"/>
    <x v="37"/>
    <x v="10"/>
    <x v="2"/>
    <x v="0"/>
    <n v="0"/>
    <x v="37"/>
    <s v="Category01"/>
    <s v="No."/>
    <n v="6"/>
    <n v="6"/>
    <x v="88"/>
    <n v="78"/>
    <n v="15"/>
    <s v="Dec"/>
    <x v="1"/>
  </r>
  <r>
    <x v="369"/>
    <x v="11"/>
    <x v="11"/>
    <x v="2"/>
    <x v="0"/>
    <n v="0"/>
    <x v="11"/>
    <s v="Category05"/>
    <s v="Kg"/>
    <n v="76"/>
    <n v="76"/>
    <x v="130"/>
    <n v="532"/>
    <n v="19"/>
    <s v="Dec"/>
    <x v="1"/>
  </r>
  <r>
    <x v="369"/>
    <x v="31"/>
    <x v="12"/>
    <x v="2"/>
    <x v="1"/>
    <n v="0"/>
    <x v="31"/>
    <s v="Category02"/>
    <s v="Lt"/>
    <n v="44"/>
    <n v="44"/>
    <x v="189"/>
    <n v="616"/>
    <n v="19"/>
    <s v="Dec"/>
    <x v="1"/>
  </r>
  <r>
    <x v="369"/>
    <x v="37"/>
    <x v="14"/>
    <x v="1"/>
    <x v="0"/>
    <n v="0"/>
    <x v="37"/>
    <s v="Category01"/>
    <s v="No."/>
    <n v="6"/>
    <n v="6"/>
    <x v="288"/>
    <n v="66"/>
    <n v="19"/>
    <s v="Dec"/>
    <x v="1"/>
  </r>
  <r>
    <x v="370"/>
    <x v="15"/>
    <x v="9"/>
    <x v="2"/>
    <x v="0"/>
    <n v="0"/>
    <x v="15"/>
    <s v="Category01"/>
    <s v="Kg"/>
    <n v="75"/>
    <n v="75"/>
    <x v="107"/>
    <n v="750"/>
    <n v="21"/>
    <s v="Dec"/>
    <x v="1"/>
  </r>
  <r>
    <x v="371"/>
    <x v="25"/>
    <x v="1"/>
    <x v="2"/>
    <x v="0"/>
    <n v="0"/>
    <x v="25"/>
    <s v="Category01"/>
    <s v="Kg"/>
    <n v="83"/>
    <n v="83"/>
    <x v="89"/>
    <n v="1245"/>
    <n v="29"/>
    <s v="Dec"/>
    <x v="1"/>
  </r>
  <r>
    <x v="371"/>
    <x v="10"/>
    <x v="5"/>
    <x v="0"/>
    <x v="1"/>
    <n v="0"/>
    <x v="10"/>
    <s v="Category05"/>
    <s v="Ft"/>
    <n v="120"/>
    <n v="120"/>
    <x v="68"/>
    <n v="120"/>
    <n v="29"/>
    <s v="Dec"/>
    <x v="1"/>
  </r>
  <r>
    <x v="372"/>
    <x v="41"/>
    <x v="12"/>
    <x v="2"/>
    <x v="0"/>
    <n v="0"/>
    <x v="41"/>
    <s v="Category05"/>
    <s v="Ft"/>
    <n v="138"/>
    <n v="138"/>
    <x v="183"/>
    <n v="1932"/>
    <n v="30"/>
    <s v="Dec"/>
    <x v="1"/>
  </r>
  <r>
    <x v="373"/>
    <x v="38"/>
    <x v="4"/>
    <x v="1"/>
    <x v="0"/>
    <n v="0"/>
    <x v="38"/>
    <s v="Category04"/>
    <s v="Kg"/>
    <n v="95"/>
    <n v="95"/>
    <x v="125"/>
    <n v="1140"/>
    <n v="31"/>
    <s v="Dec"/>
    <x v="1"/>
  </r>
  <r>
    <x v="373"/>
    <x v="31"/>
    <x v="2"/>
    <x v="1"/>
    <x v="0"/>
    <n v="0"/>
    <x v="31"/>
    <s v="Category02"/>
    <s v="Lt"/>
    <n v="44"/>
    <n v="44"/>
    <x v="166"/>
    <n v="264"/>
    <n v="31"/>
    <s v="Dec"/>
    <x v="1"/>
  </r>
  <r>
    <x v="373"/>
    <x v="31"/>
    <x v="8"/>
    <x v="0"/>
    <x v="1"/>
    <n v="0"/>
    <x v="31"/>
    <s v="Category02"/>
    <s v="Lt"/>
    <n v="44"/>
    <n v="44"/>
    <x v="165"/>
    <n v="132"/>
    <n v="31"/>
    <s v="Dec"/>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9">
  <r>
    <d v="2021-01-01T00:00:00"/>
    <s v="P0024"/>
    <n v="9"/>
    <x v="0"/>
    <x v="0"/>
    <n v="0"/>
    <x v="0"/>
    <x v="0"/>
    <x v="0"/>
    <n v="144"/>
    <n v="144"/>
    <n v="1296"/>
    <n v="1296"/>
    <x v="0"/>
    <x v="0"/>
    <x v="0"/>
  </r>
  <r>
    <d v="2021-01-02T00:00:00"/>
    <s v="P0038"/>
    <n v="15"/>
    <x v="1"/>
    <x v="1"/>
    <n v="0"/>
    <x v="1"/>
    <x v="1"/>
    <x v="1"/>
    <n v="72"/>
    <n v="72"/>
    <n v="1080"/>
    <n v="1080"/>
    <x v="1"/>
    <x v="0"/>
    <x v="0"/>
  </r>
  <r>
    <d v="2021-01-02T00:00:00"/>
    <s v="P0013"/>
    <n v="6"/>
    <x v="2"/>
    <x v="1"/>
    <n v="0"/>
    <x v="2"/>
    <x v="2"/>
    <x v="1"/>
    <n v="112"/>
    <n v="112"/>
    <n v="672"/>
    <n v="672"/>
    <x v="1"/>
    <x v="0"/>
    <x v="0"/>
  </r>
  <r>
    <d v="2021-01-03T00:00:00"/>
    <s v="P0004"/>
    <n v="5"/>
    <x v="2"/>
    <x v="0"/>
    <n v="0"/>
    <x v="3"/>
    <x v="3"/>
    <x v="2"/>
    <n v="44"/>
    <n v="44"/>
    <n v="220"/>
    <n v="220"/>
    <x v="2"/>
    <x v="0"/>
    <x v="0"/>
  </r>
  <r>
    <d v="2021-01-04T00:00:00"/>
    <s v="P0035"/>
    <n v="12"/>
    <x v="1"/>
    <x v="0"/>
    <n v="0"/>
    <x v="4"/>
    <x v="4"/>
    <x v="3"/>
    <n v="5"/>
    <n v="5"/>
    <n v="60"/>
    <n v="60"/>
    <x v="3"/>
    <x v="0"/>
    <x v="0"/>
  </r>
  <r>
    <d v="2021-01-09T00:00:00"/>
    <s v="P0031"/>
    <n v="1"/>
    <x v="2"/>
    <x v="1"/>
    <n v="0"/>
    <x v="5"/>
    <x v="4"/>
    <x v="1"/>
    <n v="93"/>
    <n v="93"/>
    <n v="93"/>
    <n v="93"/>
    <x v="4"/>
    <x v="0"/>
    <x v="0"/>
  </r>
  <r>
    <d v="2021-01-09T00:00:00"/>
    <s v="P0003"/>
    <n v="8"/>
    <x v="2"/>
    <x v="1"/>
    <n v="0"/>
    <x v="6"/>
    <x v="3"/>
    <x v="1"/>
    <n v="71"/>
    <n v="71"/>
    <n v="568"/>
    <n v="568"/>
    <x v="4"/>
    <x v="0"/>
    <x v="0"/>
  </r>
  <r>
    <d v="2021-01-09T00:00:00"/>
    <s v="P0025"/>
    <n v="4"/>
    <x v="2"/>
    <x v="0"/>
    <n v="0"/>
    <x v="7"/>
    <x v="0"/>
    <x v="3"/>
    <n v="7"/>
    <n v="7"/>
    <n v="28"/>
    <n v="28"/>
    <x v="4"/>
    <x v="0"/>
    <x v="0"/>
  </r>
  <r>
    <d v="2021-01-11T00:00:00"/>
    <s v="P0037"/>
    <n v="3"/>
    <x v="2"/>
    <x v="1"/>
    <n v="0"/>
    <x v="8"/>
    <x v="1"/>
    <x v="1"/>
    <n v="67"/>
    <n v="67"/>
    <n v="201"/>
    <n v="201"/>
    <x v="5"/>
    <x v="0"/>
    <x v="0"/>
  </r>
  <r>
    <d v="2021-01-11T00:00:00"/>
    <s v="P0014"/>
    <n v="4"/>
    <x v="0"/>
    <x v="0"/>
    <n v="0"/>
    <x v="9"/>
    <x v="2"/>
    <x v="1"/>
    <n v="112"/>
    <n v="112"/>
    <n v="448"/>
    <n v="448"/>
    <x v="5"/>
    <x v="0"/>
    <x v="0"/>
  </r>
  <r>
    <d v="2021-01-11T00:00:00"/>
    <s v="P0042"/>
    <n v="4"/>
    <x v="2"/>
    <x v="0"/>
    <n v="0"/>
    <x v="10"/>
    <x v="1"/>
    <x v="0"/>
    <n v="120"/>
    <n v="120"/>
    <n v="480"/>
    <n v="480"/>
    <x v="5"/>
    <x v="0"/>
    <x v="0"/>
  </r>
  <r>
    <d v="2021-01-12T00:00:00"/>
    <s v="P0042"/>
    <n v="10"/>
    <x v="1"/>
    <x v="1"/>
    <n v="0"/>
    <x v="10"/>
    <x v="1"/>
    <x v="0"/>
    <n v="120"/>
    <n v="120"/>
    <n v="1200"/>
    <n v="1200"/>
    <x v="6"/>
    <x v="0"/>
    <x v="0"/>
  </r>
  <r>
    <d v="2021-01-18T00:00:00"/>
    <s v="P0044"/>
    <n v="13"/>
    <x v="2"/>
    <x v="0"/>
    <n v="0"/>
    <x v="11"/>
    <x v="1"/>
    <x v="1"/>
    <n v="76"/>
    <n v="76"/>
    <n v="988"/>
    <n v="988"/>
    <x v="7"/>
    <x v="0"/>
    <x v="0"/>
  </r>
  <r>
    <d v="2021-01-18T00:00:00"/>
    <s v="P0023"/>
    <n v="3"/>
    <x v="1"/>
    <x v="1"/>
    <n v="0"/>
    <x v="12"/>
    <x v="0"/>
    <x v="0"/>
    <n v="141"/>
    <n v="141"/>
    <n v="423"/>
    <n v="423"/>
    <x v="7"/>
    <x v="0"/>
    <x v="0"/>
  </r>
  <r>
    <d v="2021-01-19T00:00:00"/>
    <s v="P0035"/>
    <n v="6"/>
    <x v="2"/>
    <x v="1"/>
    <n v="0"/>
    <x v="4"/>
    <x v="4"/>
    <x v="3"/>
    <n v="5"/>
    <n v="5"/>
    <n v="30"/>
    <n v="30"/>
    <x v="8"/>
    <x v="0"/>
    <x v="0"/>
  </r>
  <r>
    <d v="2021-01-20T00:00:00"/>
    <s v="P0034"/>
    <n v="4"/>
    <x v="2"/>
    <x v="1"/>
    <n v="0"/>
    <x v="13"/>
    <x v="4"/>
    <x v="2"/>
    <n v="55"/>
    <n v="55"/>
    <n v="220"/>
    <n v="220"/>
    <x v="9"/>
    <x v="0"/>
    <x v="0"/>
  </r>
  <r>
    <d v="2021-01-20T00:00:00"/>
    <s v="P0020"/>
    <n v="4"/>
    <x v="2"/>
    <x v="1"/>
    <n v="0"/>
    <x v="14"/>
    <x v="0"/>
    <x v="2"/>
    <n v="61"/>
    <n v="61"/>
    <n v="244"/>
    <n v="244"/>
    <x v="9"/>
    <x v="0"/>
    <x v="0"/>
  </r>
  <r>
    <d v="2021-01-21T00:00:00"/>
    <s v="P0004"/>
    <n v="15"/>
    <x v="0"/>
    <x v="1"/>
    <n v="0"/>
    <x v="3"/>
    <x v="3"/>
    <x v="2"/>
    <n v="44"/>
    <n v="44"/>
    <n v="660"/>
    <n v="660"/>
    <x v="10"/>
    <x v="0"/>
    <x v="0"/>
  </r>
  <r>
    <d v="2021-01-21T00:00:00"/>
    <s v="P0003"/>
    <n v="9"/>
    <x v="2"/>
    <x v="0"/>
    <n v="0"/>
    <x v="6"/>
    <x v="3"/>
    <x v="1"/>
    <n v="71"/>
    <n v="71"/>
    <n v="639"/>
    <n v="639"/>
    <x v="10"/>
    <x v="0"/>
    <x v="0"/>
  </r>
  <r>
    <d v="2021-01-21T00:00:00"/>
    <s v="P0042"/>
    <n v="6"/>
    <x v="2"/>
    <x v="0"/>
    <n v="0"/>
    <x v="10"/>
    <x v="1"/>
    <x v="0"/>
    <n v="120"/>
    <n v="120"/>
    <n v="720"/>
    <n v="720"/>
    <x v="10"/>
    <x v="0"/>
    <x v="0"/>
  </r>
  <r>
    <d v="2021-01-25T00:00:00"/>
    <s v="P0034"/>
    <n v="6"/>
    <x v="2"/>
    <x v="1"/>
    <n v="0"/>
    <x v="13"/>
    <x v="4"/>
    <x v="2"/>
    <n v="55"/>
    <n v="55"/>
    <n v="330"/>
    <n v="330"/>
    <x v="11"/>
    <x v="0"/>
    <x v="0"/>
  </r>
  <r>
    <d v="2021-01-25T00:00:00"/>
    <s v="P0035"/>
    <n v="7"/>
    <x v="2"/>
    <x v="0"/>
    <n v="0"/>
    <x v="4"/>
    <x v="4"/>
    <x v="3"/>
    <n v="5"/>
    <n v="5"/>
    <n v="35"/>
    <n v="35"/>
    <x v="11"/>
    <x v="0"/>
    <x v="0"/>
  </r>
  <r>
    <d v="2021-01-25T00:00:00"/>
    <s v="P0031"/>
    <n v="14"/>
    <x v="2"/>
    <x v="0"/>
    <n v="0"/>
    <x v="5"/>
    <x v="4"/>
    <x v="1"/>
    <n v="93"/>
    <n v="93"/>
    <n v="1302"/>
    <n v="1302"/>
    <x v="11"/>
    <x v="0"/>
    <x v="0"/>
  </r>
  <r>
    <d v="2021-01-26T00:00:00"/>
    <s v="P0044"/>
    <n v="9"/>
    <x v="0"/>
    <x v="1"/>
    <n v="0"/>
    <x v="11"/>
    <x v="1"/>
    <x v="1"/>
    <n v="76"/>
    <n v="76"/>
    <n v="684"/>
    <n v="684"/>
    <x v="12"/>
    <x v="0"/>
    <x v="0"/>
  </r>
  <r>
    <d v="2021-01-26T00:00:00"/>
    <s v="P0006"/>
    <n v="7"/>
    <x v="1"/>
    <x v="1"/>
    <n v="0"/>
    <x v="15"/>
    <x v="3"/>
    <x v="1"/>
    <n v="75"/>
    <n v="75"/>
    <n v="525"/>
    <n v="525"/>
    <x v="12"/>
    <x v="0"/>
    <x v="0"/>
  </r>
  <r>
    <d v="2021-01-26T00:00:00"/>
    <s v="P0001"/>
    <n v="7"/>
    <x v="1"/>
    <x v="0"/>
    <n v="0"/>
    <x v="16"/>
    <x v="3"/>
    <x v="1"/>
    <n v="98"/>
    <n v="98"/>
    <n v="686"/>
    <n v="686"/>
    <x v="12"/>
    <x v="0"/>
    <x v="0"/>
  </r>
  <r>
    <d v="2021-01-27T00:00:00"/>
    <s v="P0040"/>
    <n v="7"/>
    <x v="0"/>
    <x v="0"/>
    <n v="0"/>
    <x v="17"/>
    <x v="1"/>
    <x v="1"/>
    <n v="90"/>
    <n v="90"/>
    <n v="630"/>
    <n v="630"/>
    <x v="13"/>
    <x v="0"/>
    <x v="0"/>
  </r>
  <r>
    <d v="2021-01-27T00:00:00"/>
    <s v="P0032"/>
    <n v="3"/>
    <x v="0"/>
    <x v="0"/>
    <n v="0"/>
    <x v="18"/>
    <x v="4"/>
    <x v="1"/>
    <n v="89"/>
    <n v="89"/>
    <n v="267"/>
    <n v="267"/>
    <x v="13"/>
    <x v="0"/>
    <x v="0"/>
  </r>
  <r>
    <d v="2021-01-28T00:00:00"/>
    <s v="P0004"/>
    <n v="10"/>
    <x v="1"/>
    <x v="1"/>
    <n v="0"/>
    <x v="3"/>
    <x v="3"/>
    <x v="2"/>
    <n v="44"/>
    <n v="44"/>
    <n v="440"/>
    <n v="440"/>
    <x v="14"/>
    <x v="0"/>
    <x v="0"/>
  </r>
  <r>
    <d v="2021-01-28T00:00:00"/>
    <s v="P0029"/>
    <n v="2"/>
    <x v="2"/>
    <x v="1"/>
    <n v="0"/>
    <x v="19"/>
    <x v="4"/>
    <x v="2"/>
    <n v="47"/>
    <n v="47"/>
    <n v="94"/>
    <n v="94"/>
    <x v="14"/>
    <x v="0"/>
    <x v="0"/>
  </r>
  <r>
    <d v="2021-02-02T00:00:00"/>
    <s v="P0010"/>
    <n v="7"/>
    <x v="1"/>
    <x v="0"/>
    <n v="0"/>
    <x v="20"/>
    <x v="2"/>
    <x v="0"/>
    <n v="148"/>
    <n v="148"/>
    <n v="1036"/>
    <n v="1036"/>
    <x v="1"/>
    <x v="1"/>
    <x v="0"/>
  </r>
  <r>
    <d v="2021-02-03T00:00:00"/>
    <s v="P0016"/>
    <n v="13"/>
    <x v="2"/>
    <x v="0"/>
    <n v="0"/>
    <x v="21"/>
    <x v="2"/>
    <x v="3"/>
    <n v="13"/>
    <n v="13"/>
    <n v="169"/>
    <n v="169"/>
    <x v="2"/>
    <x v="1"/>
    <x v="0"/>
  </r>
  <r>
    <d v="2021-02-03T00:00:00"/>
    <s v="P0022"/>
    <n v="2"/>
    <x v="0"/>
    <x v="1"/>
    <n v="0"/>
    <x v="22"/>
    <x v="0"/>
    <x v="0"/>
    <n v="121"/>
    <n v="121"/>
    <n v="242"/>
    <n v="242"/>
    <x v="2"/>
    <x v="1"/>
    <x v="0"/>
  </r>
  <r>
    <d v="2021-02-04T00:00:00"/>
    <s v="P0037"/>
    <n v="4"/>
    <x v="1"/>
    <x v="0"/>
    <n v="0"/>
    <x v="8"/>
    <x v="1"/>
    <x v="1"/>
    <n v="67"/>
    <n v="67"/>
    <n v="268"/>
    <n v="268"/>
    <x v="3"/>
    <x v="1"/>
    <x v="0"/>
  </r>
  <r>
    <d v="2021-02-05T00:00:00"/>
    <s v="P0043"/>
    <n v="7"/>
    <x v="1"/>
    <x v="1"/>
    <n v="0"/>
    <x v="23"/>
    <x v="1"/>
    <x v="1"/>
    <n v="67"/>
    <n v="67"/>
    <n v="469"/>
    <n v="469"/>
    <x v="15"/>
    <x v="1"/>
    <x v="0"/>
  </r>
  <r>
    <d v="2021-02-05T00:00:00"/>
    <s v="P0005"/>
    <n v="1"/>
    <x v="2"/>
    <x v="1"/>
    <n v="0"/>
    <x v="24"/>
    <x v="3"/>
    <x v="0"/>
    <n v="133"/>
    <n v="133"/>
    <n v="133"/>
    <n v="133"/>
    <x v="15"/>
    <x v="1"/>
    <x v="0"/>
  </r>
  <r>
    <d v="2021-02-05T00:00:00"/>
    <s v="P0043"/>
    <n v="9"/>
    <x v="2"/>
    <x v="1"/>
    <n v="0"/>
    <x v="23"/>
    <x v="1"/>
    <x v="1"/>
    <n v="67"/>
    <n v="67"/>
    <n v="603"/>
    <n v="603"/>
    <x v="15"/>
    <x v="1"/>
    <x v="0"/>
  </r>
  <r>
    <d v="2021-02-06T00:00:00"/>
    <s v="P0035"/>
    <n v="1"/>
    <x v="2"/>
    <x v="1"/>
    <n v="0"/>
    <x v="4"/>
    <x v="4"/>
    <x v="3"/>
    <n v="5"/>
    <n v="5"/>
    <n v="5"/>
    <n v="5"/>
    <x v="16"/>
    <x v="1"/>
    <x v="0"/>
  </r>
  <r>
    <d v="2021-02-09T00:00:00"/>
    <s v="P0034"/>
    <n v="14"/>
    <x v="2"/>
    <x v="0"/>
    <n v="0"/>
    <x v="13"/>
    <x v="4"/>
    <x v="2"/>
    <n v="55"/>
    <n v="55"/>
    <n v="770"/>
    <n v="770"/>
    <x v="4"/>
    <x v="1"/>
    <x v="0"/>
  </r>
  <r>
    <d v="2021-02-12T00:00:00"/>
    <s v="P0008"/>
    <n v="7"/>
    <x v="2"/>
    <x v="1"/>
    <n v="0"/>
    <x v="25"/>
    <x v="3"/>
    <x v="1"/>
    <n v="83"/>
    <n v="83"/>
    <n v="581"/>
    <n v="581"/>
    <x v="6"/>
    <x v="1"/>
    <x v="0"/>
  </r>
  <r>
    <d v="2021-02-12T00:00:00"/>
    <s v="P0023"/>
    <n v="9"/>
    <x v="1"/>
    <x v="1"/>
    <n v="0"/>
    <x v="12"/>
    <x v="0"/>
    <x v="0"/>
    <n v="141"/>
    <n v="141"/>
    <n v="1269"/>
    <n v="1269"/>
    <x v="6"/>
    <x v="1"/>
    <x v="0"/>
  </r>
  <r>
    <d v="2021-02-15T00:00:00"/>
    <s v="P0027"/>
    <n v="4"/>
    <x v="2"/>
    <x v="0"/>
    <n v="0"/>
    <x v="26"/>
    <x v="4"/>
    <x v="2"/>
    <n v="48"/>
    <n v="48"/>
    <n v="192"/>
    <n v="192"/>
    <x v="17"/>
    <x v="1"/>
    <x v="0"/>
  </r>
  <r>
    <d v="2021-02-18T00:00:00"/>
    <s v="P0015"/>
    <n v="6"/>
    <x v="1"/>
    <x v="1"/>
    <n v="0"/>
    <x v="27"/>
    <x v="2"/>
    <x v="3"/>
    <n v="12"/>
    <n v="12"/>
    <n v="72"/>
    <n v="72"/>
    <x v="7"/>
    <x v="1"/>
    <x v="0"/>
  </r>
  <r>
    <d v="2021-02-20T00:00:00"/>
    <s v="P0030"/>
    <n v="11"/>
    <x v="1"/>
    <x v="1"/>
    <n v="0"/>
    <x v="28"/>
    <x v="4"/>
    <x v="0"/>
    <n v="148"/>
    <n v="148"/>
    <n v="1628"/>
    <n v="1628"/>
    <x v="9"/>
    <x v="1"/>
    <x v="0"/>
  </r>
  <r>
    <d v="2021-02-22T00:00:00"/>
    <s v="P0013"/>
    <n v="5"/>
    <x v="1"/>
    <x v="1"/>
    <n v="0"/>
    <x v="2"/>
    <x v="2"/>
    <x v="1"/>
    <n v="112"/>
    <n v="112"/>
    <n v="560"/>
    <n v="560"/>
    <x v="18"/>
    <x v="1"/>
    <x v="0"/>
  </r>
  <r>
    <d v="2021-02-23T00:00:00"/>
    <s v="P0025"/>
    <n v="3"/>
    <x v="2"/>
    <x v="1"/>
    <n v="0"/>
    <x v="7"/>
    <x v="0"/>
    <x v="3"/>
    <n v="7"/>
    <n v="7"/>
    <n v="21"/>
    <n v="21"/>
    <x v="19"/>
    <x v="1"/>
    <x v="0"/>
  </r>
  <r>
    <d v="2021-02-23T00:00:00"/>
    <s v="P0005"/>
    <n v="2"/>
    <x v="2"/>
    <x v="0"/>
    <n v="0"/>
    <x v="24"/>
    <x v="3"/>
    <x v="0"/>
    <n v="133"/>
    <n v="133"/>
    <n v="266"/>
    <n v="266"/>
    <x v="19"/>
    <x v="1"/>
    <x v="0"/>
  </r>
  <r>
    <d v="2021-02-25T00:00:00"/>
    <s v="P0002"/>
    <n v="4"/>
    <x v="0"/>
    <x v="0"/>
    <n v="0"/>
    <x v="29"/>
    <x v="3"/>
    <x v="1"/>
    <n v="105"/>
    <n v="105"/>
    <n v="420"/>
    <n v="420"/>
    <x v="11"/>
    <x v="1"/>
    <x v="0"/>
  </r>
  <r>
    <d v="2021-02-25T00:00:00"/>
    <s v="P0032"/>
    <n v="11"/>
    <x v="1"/>
    <x v="1"/>
    <n v="0"/>
    <x v="18"/>
    <x v="4"/>
    <x v="1"/>
    <n v="89"/>
    <n v="89"/>
    <n v="979"/>
    <n v="979"/>
    <x v="11"/>
    <x v="1"/>
    <x v="0"/>
  </r>
  <r>
    <d v="2021-02-25T00:00:00"/>
    <s v="P0030"/>
    <n v="2"/>
    <x v="2"/>
    <x v="0"/>
    <n v="0"/>
    <x v="28"/>
    <x v="4"/>
    <x v="0"/>
    <n v="148"/>
    <n v="148"/>
    <n v="296"/>
    <n v="296"/>
    <x v="11"/>
    <x v="1"/>
    <x v="0"/>
  </r>
  <r>
    <d v="2021-02-27T00:00:00"/>
    <s v="P0018"/>
    <n v="11"/>
    <x v="0"/>
    <x v="0"/>
    <n v="0"/>
    <x v="30"/>
    <x v="2"/>
    <x v="3"/>
    <n v="37"/>
    <n v="37"/>
    <n v="407"/>
    <n v="407"/>
    <x v="13"/>
    <x v="1"/>
    <x v="0"/>
  </r>
  <r>
    <d v="2021-03-03T00:00:00"/>
    <s v="P0011"/>
    <n v="1"/>
    <x v="2"/>
    <x v="0"/>
    <n v="0"/>
    <x v="31"/>
    <x v="2"/>
    <x v="2"/>
    <n v="44"/>
    <n v="44"/>
    <n v="44"/>
    <n v="44"/>
    <x v="2"/>
    <x v="2"/>
    <x v="0"/>
  </r>
  <r>
    <d v="2021-03-07T00:00:00"/>
    <s v="P0021"/>
    <n v="9"/>
    <x v="2"/>
    <x v="1"/>
    <n v="0"/>
    <x v="32"/>
    <x v="0"/>
    <x v="0"/>
    <n v="126"/>
    <n v="126"/>
    <n v="1134"/>
    <n v="1134"/>
    <x v="20"/>
    <x v="2"/>
    <x v="0"/>
  </r>
  <r>
    <d v="2021-03-08T00:00:00"/>
    <s v="P0027"/>
    <n v="6"/>
    <x v="1"/>
    <x v="1"/>
    <n v="0"/>
    <x v="26"/>
    <x v="4"/>
    <x v="2"/>
    <n v="48"/>
    <n v="48"/>
    <n v="288"/>
    <n v="288"/>
    <x v="21"/>
    <x v="2"/>
    <x v="0"/>
  </r>
  <r>
    <d v="2021-03-08T00:00:00"/>
    <s v="P0044"/>
    <n v="9"/>
    <x v="1"/>
    <x v="0"/>
    <n v="0"/>
    <x v="11"/>
    <x v="1"/>
    <x v="1"/>
    <n v="76"/>
    <n v="76"/>
    <n v="684"/>
    <n v="684"/>
    <x v="21"/>
    <x v="2"/>
    <x v="0"/>
  </r>
  <r>
    <d v="2021-03-09T00:00:00"/>
    <s v="P0029"/>
    <n v="6"/>
    <x v="0"/>
    <x v="0"/>
    <n v="0"/>
    <x v="19"/>
    <x v="4"/>
    <x v="2"/>
    <n v="47"/>
    <n v="47"/>
    <n v="282"/>
    <n v="282"/>
    <x v="4"/>
    <x v="2"/>
    <x v="0"/>
  </r>
  <r>
    <d v="2021-03-11T00:00:00"/>
    <s v="P0025"/>
    <n v="11"/>
    <x v="2"/>
    <x v="1"/>
    <n v="0"/>
    <x v="7"/>
    <x v="0"/>
    <x v="3"/>
    <n v="7"/>
    <n v="7"/>
    <n v="77"/>
    <n v="77"/>
    <x v="5"/>
    <x v="2"/>
    <x v="0"/>
  </r>
  <r>
    <d v="2021-03-13T00:00:00"/>
    <s v="P0028"/>
    <n v="10"/>
    <x v="0"/>
    <x v="1"/>
    <n v="0"/>
    <x v="33"/>
    <x v="4"/>
    <x v="3"/>
    <n v="37"/>
    <n v="37"/>
    <n v="370"/>
    <n v="370"/>
    <x v="22"/>
    <x v="2"/>
    <x v="0"/>
  </r>
  <r>
    <d v="2021-03-15T00:00:00"/>
    <s v="P0039"/>
    <n v="11"/>
    <x v="1"/>
    <x v="1"/>
    <n v="0"/>
    <x v="34"/>
    <x v="1"/>
    <x v="3"/>
    <n v="37"/>
    <n v="37"/>
    <n v="407"/>
    <n v="407"/>
    <x v="17"/>
    <x v="2"/>
    <x v="0"/>
  </r>
  <r>
    <d v="2021-03-16T00:00:00"/>
    <s v="P0012"/>
    <n v="14"/>
    <x v="2"/>
    <x v="1"/>
    <n v="0"/>
    <x v="35"/>
    <x v="2"/>
    <x v="1"/>
    <n v="73"/>
    <n v="73"/>
    <n v="1022"/>
    <n v="1022"/>
    <x v="23"/>
    <x v="2"/>
    <x v="0"/>
  </r>
  <r>
    <d v="2021-03-18T00:00:00"/>
    <s v="P0042"/>
    <n v="8"/>
    <x v="0"/>
    <x v="1"/>
    <n v="0"/>
    <x v="10"/>
    <x v="1"/>
    <x v="0"/>
    <n v="120"/>
    <n v="120"/>
    <n v="960"/>
    <n v="960"/>
    <x v="7"/>
    <x v="2"/>
    <x v="0"/>
  </r>
  <r>
    <d v="2021-03-19T00:00:00"/>
    <s v="P0028"/>
    <n v="9"/>
    <x v="1"/>
    <x v="1"/>
    <n v="0"/>
    <x v="33"/>
    <x v="4"/>
    <x v="3"/>
    <n v="37"/>
    <n v="37"/>
    <n v="333"/>
    <n v="333"/>
    <x v="8"/>
    <x v="2"/>
    <x v="0"/>
  </r>
  <r>
    <d v="2021-03-21T00:00:00"/>
    <s v="P0020"/>
    <n v="13"/>
    <x v="1"/>
    <x v="0"/>
    <n v="0"/>
    <x v="14"/>
    <x v="0"/>
    <x v="2"/>
    <n v="61"/>
    <n v="61"/>
    <n v="793"/>
    <n v="793"/>
    <x v="10"/>
    <x v="2"/>
    <x v="0"/>
  </r>
  <r>
    <d v="2021-03-21T00:00:00"/>
    <s v="P0039"/>
    <n v="7"/>
    <x v="2"/>
    <x v="0"/>
    <n v="0"/>
    <x v="34"/>
    <x v="1"/>
    <x v="3"/>
    <n v="37"/>
    <n v="37"/>
    <n v="259"/>
    <n v="259"/>
    <x v="10"/>
    <x v="2"/>
    <x v="0"/>
  </r>
  <r>
    <d v="2021-03-22T00:00:00"/>
    <s v="P0002"/>
    <n v="8"/>
    <x v="1"/>
    <x v="0"/>
    <n v="0"/>
    <x v="29"/>
    <x v="3"/>
    <x v="1"/>
    <n v="105"/>
    <n v="105"/>
    <n v="840"/>
    <n v="840"/>
    <x v="18"/>
    <x v="2"/>
    <x v="0"/>
  </r>
  <r>
    <d v="2021-03-22T00:00:00"/>
    <s v="P0012"/>
    <n v="4"/>
    <x v="1"/>
    <x v="0"/>
    <n v="0"/>
    <x v="35"/>
    <x v="2"/>
    <x v="1"/>
    <n v="73"/>
    <n v="73"/>
    <n v="292"/>
    <n v="292"/>
    <x v="18"/>
    <x v="2"/>
    <x v="0"/>
  </r>
  <r>
    <d v="2021-03-25T00:00:00"/>
    <s v="P0024"/>
    <n v="14"/>
    <x v="1"/>
    <x v="1"/>
    <n v="0"/>
    <x v="0"/>
    <x v="0"/>
    <x v="0"/>
    <n v="144"/>
    <n v="144"/>
    <n v="2016"/>
    <n v="2016"/>
    <x v="11"/>
    <x v="2"/>
    <x v="0"/>
  </r>
  <r>
    <d v="2021-03-25T00:00:00"/>
    <s v="P0006"/>
    <n v="4"/>
    <x v="2"/>
    <x v="1"/>
    <n v="0"/>
    <x v="15"/>
    <x v="3"/>
    <x v="1"/>
    <n v="75"/>
    <n v="75"/>
    <n v="300"/>
    <n v="300"/>
    <x v="11"/>
    <x v="2"/>
    <x v="0"/>
  </r>
  <r>
    <d v="2021-03-25T00:00:00"/>
    <s v="P0029"/>
    <n v="8"/>
    <x v="2"/>
    <x v="1"/>
    <n v="0"/>
    <x v="19"/>
    <x v="4"/>
    <x v="2"/>
    <n v="47"/>
    <n v="47"/>
    <n v="376"/>
    <n v="376"/>
    <x v="11"/>
    <x v="2"/>
    <x v="0"/>
  </r>
  <r>
    <d v="2021-03-25T00:00:00"/>
    <s v="P0038"/>
    <n v="2"/>
    <x v="2"/>
    <x v="0"/>
    <n v="0"/>
    <x v="1"/>
    <x v="1"/>
    <x v="1"/>
    <n v="72"/>
    <n v="72"/>
    <n v="144"/>
    <n v="144"/>
    <x v="11"/>
    <x v="2"/>
    <x v="0"/>
  </r>
  <r>
    <d v="2021-03-26T00:00:00"/>
    <s v="P0001"/>
    <n v="4"/>
    <x v="2"/>
    <x v="1"/>
    <n v="0"/>
    <x v="16"/>
    <x v="3"/>
    <x v="1"/>
    <n v="98"/>
    <n v="98"/>
    <n v="392"/>
    <n v="392"/>
    <x v="12"/>
    <x v="2"/>
    <x v="0"/>
  </r>
  <r>
    <d v="2021-03-26T00:00:00"/>
    <s v="P0042"/>
    <n v="1"/>
    <x v="2"/>
    <x v="1"/>
    <n v="0"/>
    <x v="10"/>
    <x v="1"/>
    <x v="0"/>
    <n v="120"/>
    <n v="120"/>
    <n v="120"/>
    <n v="120"/>
    <x v="12"/>
    <x v="2"/>
    <x v="0"/>
  </r>
  <r>
    <d v="2021-03-26T00:00:00"/>
    <s v="P0010"/>
    <n v="9"/>
    <x v="2"/>
    <x v="0"/>
    <n v="0"/>
    <x v="20"/>
    <x v="2"/>
    <x v="0"/>
    <n v="148"/>
    <n v="148"/>
    <n v="1332"/>
    <n v="1332"/>
    <x v="12"/>
    <x v="2"/>
    <x v="0"/>
  </r>
  <r>
    <d v="2021-03-27T00:00:00"/>
    <s v="P0030"/>
    <n v="3"/>
    <x v="2"/>
    <x v="0"/>
    <n v="0"/>
    <x v="28"/>
    <x v="4"/>
    <x v="0"/>
    <n v="148"/>
    <n v="148"/>
    <n v="444"/>
    <n v="444"/>
    <x v="13"/>
    <x v="2"/>
    <x v="0"/>
  </r>
  <r>
    <d v="2021-03-28T00:00:00"/>
    <s v="P0007"/>
    <n v="8"/>
    <x v="1"/>
    <x v="1"/>
    <n v="0"/>
    <x v="36"/>
    <x v="3"/>
    <x v="2"/>
    <n v="43"/>
    <n v="43"/>
    <n v="344"/>
    <n v="344"/>
    <x v="14"/>
    <x v="2"/>
    <x v="0"/>
  </r>
  <r>
    <d v="2021-03-30T00:00:00"/>
    <s v="P0038"/>
    <n v="1"/>
    <x v="1"/>
    <x v="1"/>
    <n v="0"/>
    <x v="1"/>
    <x v="1"/>
    <x v="1"/>
    <n v="72"/>
    <n v="72"/>
    <n v="72"/>
    <n v="72"/>
    <x v="24"/>
    <x v="2"/>
    <x v="0"/>
  </r>
  <r>
    <d v="2021-03-31T00:00:00"/>
    <s v="P0042"/>
    <n v="3"/>
    <x v="2"/>
    <x v="1"/>
    <n v="0"/>
    <x v="10"/>
    <x v="1"/>
    <x v="0"/>
    <n v="120"/>
    <n v="120"/>
    <n v="360"/>
    <n v="360"/>
    <x v="25"/>
    <x v="2"/>
    <x v="0"/>
  </r>
  <r>
    <d v="2021-04-04T00:00:00"/>
    <s v="P0040"/>
    <n v="4"/>
    <x v="2"/>
    <x v="1"/>
    <n v="0"/>
    <x v="17"/>
    <x v="1"/>
    <x v="1"/>
    <n v="90"/>
    <n v="90"/>
    <n v="360"/>
    <n v="360"/>
    <x v="3"/>
    <x v="3"/>
    <x v="0"/>
  </r>
  <r>
    <d v="2021-04-04T00:00:00"/>
    <s v="P0009"/>
    <n v="9"/>
    <x v="1"/>
    <x v="1"/>
    <n v="0"/>
    <x v="37"/>
    <x v="3"/>
    <x v="3"/>
    <n v="6"/>
    <n v="6"/>
    <n v="54"/>
    <n v="54"/>
    <x v="3"/>
    <x v="3"/>
    <x v="0"/>
  </r>
  <r>
    <d v="2021-04-05T00:00:00"/>
    <s v="P0031"/>
    <n v="15"/>
    <x v="1"/>
    <x v="0"/>
    <n v="0"/>
    <x v="5"/>
    <x v="4"/>
    <x v="1"/>
    <n v="93"/>
    <n v="93"/>
    <n v="1395"/>
    <n v="1395"/>
    <x v="15"/>
    <x v="3"/>
    <x v="0"/>
  </r>
  <r>
    <d v="2021-04-09T00:00:00"/>
    <s v="P0005"/>
    <n v="3"/>
    <x v="1"/>
    <x v="0"/>
    <n v="0"/>
    <x v="24"/>
    <x v="3"/>
    <x v="0"/>
    <n v="133"/>
    <n v="133"/>
    <n v="399"/>
    <n v="399"/>
    <x v="4"/>
    <x v="3"/>
    <x v="0"/>
  </r>
  <r>
    <d v="2021-04-10T00:00:00"/>
    <s v="P0022"/>
    <n v="14"/>
    <x v="2"/>
    <x v="0"/>
    <n v="0"/>
    <x v="22"/>
    <x v="0"/>
    <x v="0"/>
    <n v="121"/>
    <n v="121"/>
    <n v="1694"/>
    <n v="1694"/>
    <x v="26"/>
    <x v="3"/>
    <x v="0"/>
  </r>
  <r>
    <d v="2021-04-12T00:00:00"/>
    <s v="P0037"/>
    <n v="3"/>
    <x v="2"/>
    <x v="1"/>
    <n v="0"/>
    <x v="8"/>
    <x v="1"/>
    <x v="1"/>
    <n v="67"/>
    <n v="67"/>
    <n v="201"/>
    <n v="201"/>
    <x v="6"/>
    <x v="3"/>
    <x v="0"/>
  </r>
  <r>
    <d v="2021-04-12T00:00:00"/>
    <s v="P0029"/>
    <n v="4"/>
    <x v="2"/>
    <x v="0"/>
    <n v="0"/>
    <x v="19"/>
    <x v="4"/>
    <x v="2"/>
    <n v="47"/>
    <n v="47"/>
    <n v="188"/>
    <n v="188"/>
    <x v="6"/>
    <x v="3"/>
    <x v="0"/>
  </r>
  <r>
    <d v="2021-04-12T00:00:00"/>
    <s v="P0027"/>
    <n v="9"/>
    <x v="2"/>
    <x v="0"/>
    <n v="0"/>
    <x v="26"/>
    <x v="4"/>
    <x v="2"/>
    <n v="48"/>
    <n v="48"/>
    <n v="432"/>
    <n v="432"/>
    <x v="6"/>
    <x v="3"/>
    <x v="0"/>
  </r>
  <r>
    <d v="2021-04-12T00:00:00"/>
    <s v="P0033"/>
    <n v="13"/>
    <x v="2"/>
    <x v="1"/>
    <n v="0"/>
    <x v="38"/>
    <x v="4"/>
    <x v="1"/>
    <n v="95"/>
    <n v="95"/>
    <n v="1235"/>
    <n v="1235"/>
    <x v="6"/>
    <x v="3"/>
    <x v="0"/>
  </r>
  <r>
    <d v="2021-04-15T00:00:00"/>
    <s v="P0017"/>
    <n v="3"/>
    <x v="2"/>
    <x v="0"/>
    <n v="0"/>
    <x v="39"/>
    <x v="2"/>
    <x v="0"/>
    <n v="134"/>
    <n v="134"/>
    <n v="402"/>
    <n v="402"/>
    <x v="17"/>
    <x v="3"/>
    <x v="0"/>
  </r>
  <r>
    <d v="2021-04-16T00:00:00"/>
    <s v="P0018"/>
    <n v="15"/>
    <x v="2"/>
    <x v="1"/>
    <n v="0"/>
    <x v="30"/>
    <x v="2"/>
    <x v="3"/>
    <n v="37"/>
    <n v="37"/>
    <n v="555"/>
    <n v="555"/>
    <x v="23"/>
    <x v="3"/>
    <x v="0"/>
  </r>
  <r>
    <d v="2021-04-18T00:00:00"/>
    <s v="P0038"/>
    <n v="9"/>
    <x v="0"/>
    <x v="0"/>
    <n v="0"/>
    <x v="1"/>
    <x v="1"/>
    <x v="1"/>
    <n v="72"/>
    <n v="72"/>
    <n v="648"/>
    <n v="648"/>
    <x v="7"/>
    <x v="3"/>
    <x v="0"/>
  </r>
  <r>
    <d v="2021-04-18T00:00:00"/>
    <s v="P0019"/>
    <n v="13"/>
    <x v="2"/>
    <x v="1"/>
    <n v="0"/>
    <x v="40"/>
    <x v="2"/>
    <x v="0"/>
    <n v="150"/>
    <n v="150"/>
    <n v="1950"/>
    <n v="1950"/>
    <x v="7"/>
    <x v="3"/>
    <x v="0"/>
  </r>
  <r>
    <d v="2021-04-23T00:00:00"/>
    <s v="P0042"/>
    <n v="6"/>
    <x v="2"/>
    <x v="0"/>
    <n v="0"/>
    <x v="10"/>
    <x v="1"/>
    <x v="0"/>
    <n v="120"/>
    <n v="120"/>
    <n v="720"/>
    <n v="720"/>
    <x v="19"/>
    <x v="3"/>
    <x v="0"/>
  </r>
  <r>
    <d v="2021-04-23T00:00:00"/>
    <s v="P0028"/>
    <n v="10"/>
    <x v="2"/>
    <x v="0"/>
    <n v="0"/>
    <x v="33"/>
    <x v="4"/>
    <x v="3"/>
    <n v="37"/>
    <n v="37"/>
    <n v="370"/>
    <n v="370"/>
    <x v="19"/>
    <x v="3"/>
    <x v="0"/>
  </r>
  <r>
    <d v="2021-04-24T00:00:00"/>
    <s v="P0030"/>
    <n v="2"/>
    <x v="1"/>
    <x v="0"/>
    <n v="0"/>
    <x v="28"/>
    <x v="4"/>
    <x v="0"/>
    <n v="148"/>
    <n v="148"/>
    <n v="296"/>
    <n v="296"/>
    <x v="27"/>
    <x v="3"/>
    <x v="0"/>
  </r>
  <r>
    <d v="2021-04-26T00:00:00"/>
    <s v="P0037"/>
    <n v="3"/>
    <x v="2"/>
    <x v="0"/>
    <n v="0"/>
    <x v="8"/>
    <x v="1"/>
    <x v="1"/>
    <n v="67"/>
    <n v="67"/>
    <n v="201"/>
    <n v="201"/>
    <x v="12"/>
    <x v="3"/>
    <x v="0"/>
  </r>
  <r>
    <d v="2021-04-29T00:00:00"/>
    <s v="P0030"/>
    <n v="7"/>
    <x v="2"/>
    <x v="0"/>
    <n v="0"/>
    <x v="28"/>
    <x v="4"/>
    <x v="0"/>
    <n v="148"/>
    <n v="148"/>
    <n v="1036"/>
    <n v="1036"/>
    <x v="28"/>
    <x v="3"/>
    <x v="0"/>
  </r>
  <r>
    <d v="2021-04-30T00:00:00"/>
    <s v="P0029"/>
    <n v="1"/>
    <x v="2"/>
    <x v="0"/>
    <n v="0"/>
    <x v="19"/>
    <x v="4"/>
    <x v="2"/>
    <n v="47"/>
    <n v="47"/>
    <n v="47"/>
    <n v="47"/>
    <x v="24"/>
    <x v="3"/>
    <x v="0"/>
  </r>
  <r>
    <d v="2021-05-01T00:00:00"/>
    <s v="P0018"/>
    <n v="3"/>
    <x v="1"/>
    <x v="1"/>
    <n v="0"/>
    <x v="30"/>
    <x v="2"/>
    <x v="3"/>
    <n v="37"/>
    <n v="37"/>
    <n v="111"/>
    <n v="111"/>
    <x v="0"/>
    <x v="4"/>
    <x v="0"/>
  </r>
  <r>
    <d v="2021-05-01T00:00:00"/>
    <s v="P0042"/>
    <n v="1"/>
    <x v="1"/>
    <x v="1"/>
    <n v="0"/>
    <x v="10"/>
    <x v="1"/>
    <x v="0"/>
    <n v="120"/>
    <n v="120"/>
    <n v="120"/>
    <n v="120"/>
    <x v="0"/>
    <x v="4"/>
    <x v="0"/>
  </r>
  <r>
    <d v="2021-05-03T00:00:00"/>
    <s v="P0034"/>
    <n v="3"/>
    <x v="1"/>
    <x v="0"/>
    <n v="0"/>
    <x v="13"/>
    <x v="4"/>
    <x v="2"/>
    <n v="55"/>
    <n v="55"/>
    <n v="165"/>
    <n v="165"/>
    <x v="2"/>
    <x v="4"/>
    <x v="0"/>
  </r>
  <r>
    <d v="2021-05-04T00:00:00"/>
    <s v="P0015"/>
    <n v="13"/>
    <x v="1"/>
    <x v="0"/>
    <n v="0"/>
    <x v="27"/>
    <x v="2"/>
    <x v="3"/>
    <n v="12"/>
    <n v="12"/>
    <n v="156"/>
    <n v="156"/>
    <x v="3"/>
    <x v="4"/>
    <x v="0"/>
  </r>
  <r>
    <d v="2021-05-04T00:00:00"/>
    <s v="P0014"/>
    <n v="4"/>
    <x v="2"/>
    <x v="1"/>
    <n v="0"/>
    <x v="9"/>
    <x v="2"/>
    <x v="1"/>
    <n v="112"/>
    <n v="112"/>
    <n v="448"/>
    <n v="448"/>
    <x v="3"/>
    <x v="4"/>
    <x v="0"/>
  </r>
  <r>
    <d v="2021-05-05T00:00:00"/>
    <s v="P0009"/>
    <n v="13"/>
    <x v="2"/>
    <x v="1"/>
    <n v="0"/>
    <x v="37"/>
    <x v="3"/>
    <x v="3"/>
    <n v="6"/>
    <n v="6"/>
    <n v="78"/>
    <n v="78"/>
    <x v="15"/>
    <x v="4"/>
    <x v="0"/>
  </r>
  <r>
    <d v="2021-05-06T00:00:00"/>
    <s v="P0008"/>
    <n v="15"/>
    <x v="2"/>
    <x v="0"/>
    <n v="0"/>
    <x v="25"/>
    <x v="3"/>
    <x v="1"/>
    <n v="83"/>
    <n v="83"/>
    <n v="1245"/>
    <n v="1245"/>
    <x v="16"/>
    <x v="4"/>
    <x v="0"/>
  </r>
  <r>
    <d v="2021-05-06T00:00:00"/>
    <s v="P0009"/>
    <n v="6"/>
    <x v="1"/>
    <x v="0"/>
    <n v="0"/>
    <x v="37"/>
    <x v="3"/>
    <x v="3"/>
    <n v="6"/>
    <n v="6"/>
    <n v="36"/>
    <n v="36"/>
    <x v="16"/>
    <x v="4"/>
    <x v="0"/>
  </r>
  <r>
    <d v="2021-05-07T00:00:00"/>
    <s v="P0018"/>
    <n v="1"/>
    <x v="2"/>
    <x v="1"/>
    <n v="0"/>
    <x v="30"/>
    <x v="2"/>
    <x v="3"/>
    <n v="37"/>
    <n v="37"/>
    <n v="37"/>
    <n v="37"/>
    <x v="20"/>
    <x v="4"/>
    <x v="0"/>
  </r>
  <r>
    <d v="2021-05-09T00:00:00"/>
    <s v="P0016"/>
    <n v="6"/>
    <x v="1"/>
    <x v="0"/>
    <n v="0"/>
    <x v="21"/>
    <x v="2"/>
    <x v="3"/>
    <n v="13"/>
    <n v="13"/>
    <n v="78"/>
    <n v="78"/>
    <x v="4"/>
    <x v="4"/>
    <x v="0"/>
  </r>
  <r>
    <d v="2021-05-09T00:00:00"/>
    <s v="P0028"/>
    <n v="8"/>
    <x v="2"/>
    <x v="1"/>
    <n v="0"/>
    <x v="33"/>
    <x v="4"/>
    <x v="3"/>
    <n v="37"/>
    <n v="37"/>
    <n v="296"/>
    <n v="296"/>
    <x v="4"/>
    <x v="4"/>
    <x v="0"/>
  </r>
  <r>
    <d v="2021-05-12T00:00:00"/>
    <s v="P0016"/>
    <n v="3"/>
    <x v="2"/>
    <x v="0"/>
    <n v="0"/>
    <x v="21"/>
    <x v="2"/>
    <x v="3"/>
    <n v="13"/>
    <n v="13"/>
    <n v="39"/>
    <n v="39"/>
    <x v="6"/>
    <x v="4"/>
    <x v="0"/>
  </r>
  <r>
    <d v="2021-05-12T00:00:00"/>
    <s v="P0035"/>
    <n v="15"/>
    <x v="2"/>
    <x v="0"/>
    <n v="0"/>
    <x v="4"/>
    <x v="4"/>
    <x v="3"/>
    <n v="5"/>
    <n v="5"/>
    <n v="75"/>
    <n v="75"/>
    <x v="6"/>
    <x v="4"/>
    <x v="0"/>
  </r>
  <r>
    <d v="2021-05-13T00:00:00"/>
    <s v="P0029"/>
    <n v="4"/>
    <x v="2"/>
    <x v="0"/>
    <n v="0"/>
    <x v="19"/>
    <x v="4"/>
    <x v="2"/>
    <n v="47"/>
    <n v="47"/>
    <n v="188"/>
    <n v="188"/>
    <x v="22"/>
    <x v="4"/>
    <x v="0"/>
  </r>
  <r>
    <d v="2021-05-20T00:00:00"/>
    <s v="P0042"/>
    <n v="2"/>
    <x v="1"/>
    <x v="1"/>
    <n v="0"/>
    <x v="10"/>
    <x v="1"/>
    <x v="0"/>
    <n v="120"/>
    <n v="120"/>
    <n v="240"/>
    <n v="240"/>
    <x v="9"/>
    <x v="4"/>
    <x v="0"/>
  </r>
  <r>
    <d v="2021-05-23T00:00:00"/>
    <s v="P0040"/>
    <n v="11"/>
    <x v="2"/>
    <x v="0"/>
    <n v="0"/>
    <x v="17"/>
    <x v="1"/>
    <x v="1"/>
    <n v="90"/>
    <n v="90"/>
    <n v="990"/>
    <n v="990"/>
    <x v="19"/>
    <x v="4"/>
    <x v="0"/>
  </r>
  <r>
    <d v="2021-05-30T00:00:00"/>
    <s v="P0023"/>
    <n v="13"/>
    <x v="1"/>
    <x v="0"/>
    <n v="0"/>
    <x v="12"/>
    <x v="0"/>
    <x v="0"/>
    <n v="141"/>
    <n v="141"/>
    <n v="1833"/>
    <n v="1833"/>
    <x v="24"/>
    <x v="4"/>
    <x v="0"/>
  </r>
  <r>
    <d v="2021-05-30T00:00:00"/>
    <s v="P0013"/>
    <n v="6"/>
    <x v="1"/>
    <x v="1"/>
    <n v="0"/>
    <x v="2"/>
    <x v="2"/>
    <x v="1"/>
    <n v="112"/>
    <n v="112"/>
    <n v="672"/>
    <n v="672"/>
    <x v="24"/>
    <x v="4"/>
    <x v="0"/>
  </r>
  <r>
    <d v="2021-06-03T00:00:00"/>
    <s v="P0021"/>
    <n v="10"/>
    <x v="2"/>
    <x v="1"/>
    <n v="0"/>
    <x v="32"/>
    <x v="0"/>
    <x v="0"/>
    <n v="126"/>
    <n v="126"/>
    <n v="1260"/>
    <n v="1260"/>
    <x v="2"/>
    <x v="5"/>
    <x v="0"/>
  </r>
  <r>
    <d v="2021-06-04T00:00:00"/>
    <s v="P0020"/>
    <n v="8"/>
    <x v="0"/>
    <x v="0"/>
    <n v="0"/>
    <x v="14"/>
    <x v="0"/>
    <x v="2"/>
    <n v="61"/>
    <n v="61"/>
    <n v="488"/>
    <n v="488"/>
    <x v="3"/>
    <x v="5"/>
    <x v="0"/>
  </r>
  <r>
    <d v="2021-06-04T00:00:00"/>
    <s v="P0020"/>
    <n v="12"/>
    <x v="1"/>
    <x v="1"/>
    <n v="0"/>
    <x v="14"/>
    <x v="0"/>
    <x v="2"/>
    <n v="61"/>
    <n v="61"/>
    <n v="732"/>
    <n v="732"/>
    <x v="3"/>
    <x v="5"/>
    <x v="0"/>
  </r>
  <r>
    <d v="2021-06-05T00:00:00"/>
    <s v="P0022"/>
    <n v="15"/>
    <x v="0"/>
    <x v="0"/>
    <n v="0"/>
    <x v="22"/>
    <x v="0"/>
    <x v="0"/>
    <n v="121"/>
    <n v="121"/>
    <n v="1815"/>
    <n v="1815"/>
    <x v="15"/>
    <x v="5"/>
    <x v="0"/>
  </r>
  <r>
    <d v="2021-06-05T00:00:00"/>
    <s v="P0035"/>
    <n v="10"/>
    <x v="2"/>
    <x v="0"/>
    <n v="0"/>
    <x v="4"/>
    <x v="4"/>
    <x v="3"/>
    <n v="5"/>
    <n v="5"/>
    <n v="50"/>
    <n v="50"/>
    <x v="15"/>
    <x v="5"/>
    <x v="0"/>
  </r>
  <r>
    <d v="2021-06-06T00:00:00"/>
    <s v="P0033"/>
    <n v="6"/>
    <x v="2"/>
    <x v="0"/>
    <n v="0"/>
    <x v="38"/>
    <x v="4"/>
    <x v="1"/>
    <n v="95"/>
    <n v="95"/>
    <n v="570"/>
    <n v="570"/>
    <x v="16"/>
    <x v="5"/>
    <x v="0"/>
  </r>
  <r>
    <d v="2021-06-08T00:00:00"/>
    <s v="P0028"/>
    <n v="11"/>
    <x v="2"/>
    <x v="0"/>
    <n v="0"/>
    <x v="33"/>
    <x v="4"/>
    <x v="3"/>
    <n v="37"/>
    <n v="37"/>
    <n v="407"/>
    <n v="407"/>
    <x v="21"/>
    <x v="5"/>
    <x v="0"/>
  </r>
  <r>
    <d v="2021-06-08T00:00:00"/>
    <s v="P0004"/>
    <n v="11"/>
    <x v="0"/>
    <x v="1"/>
    <n v="0"/>
    <x v="3"/>
    <x v="3"/>
    <x v="2"/>
    <n v="44"/>
    <n v="44"/>
    <n v="484"/>
    <n v="484"/>
    <x v="21"/>
    <x v="5"/>
    <x v="0"/>
  </r>
  <r>
    <d v="2021-06-09T00:00:00"/>
    <s v="P0001"/>
    <n v="7"/>
    <x v="2"/>
    <x v="0"/>
    <n v="0"/>
    <x v="16"/>
    <x v="3"/>
    <x v="1"/>
    <n v="98"/>
    <n v="98"/>
    <n v="686"/>
    <n v="686"/>
    <x v="4"/>
    <x v="5"/>
    <x v="0"/>
  </r>
  <r>
    <d v="2021-06-11T00:00:00"/>
    <s v="P0032"/>
    <n v="12"/>
    <x v="0"/>
    <x v="1"/>
    <n v="0"/>
    <x v="18"/>
    <x v="4"/>
    <x v="1"/>
    <n v="89"/>
    <n v="89"/>
    <n v="1068"/>
    <n v="1068"/>
    <x v="5"/>
    <x v="5"/>
    <x v="0"/>
  </r>
  <r>
    <d v="2021-06-12T00:00:00"/>
    <s v="P0041"/>
    <n v="6"/>
    <x v="2"/>
    <x v="0"/>
    <n v="0"/>
    <x v="41"/>
    <x v="1"/>
    <x v="0"/>
    <n v="138"/>
    <n v="138"/>
    <n v="828"/>
    <n v="828"/>
    <x v="6"/>
    <x v="5"/>
    <x v="0"/>
  </r>
  <r>
    <d v="2021-06-14T00:00:00"/>
    <s v="P0025"/>
    <n v="10"/>
    <x v="1"/>
    <x v="1"/>
    <n v="0"/>
    <x v="7"/>
    <x v="0"/>
    <x v="3"/>
    <n v="7"/>
    <n v="7"/>
    <n v="70"/>
    <n v="70"/>
    <x v="29"/>
    <x v="5"/>
    <x v="0"/>
  </r>
  <r>
    <d v="2021-06-16T00:00:00"/>
    <s v="P0019"/>
    <n v="5"/>
    <x v="0"/>
    <x v="1"/>
    <n v="0"/>
    <x v="40"/>
    <x v="2"/>
    <x v="0"/>
    <n v="150"/>
    <n v="150"/>
    <n v="750"/>
    <n v="750"/>
    <x v="23"/>
    <x v="5"/>
    <x v="0"/>
  </r>
  <r>
    <d v="2021-06-16T00:00:00"/>
    <s v="P0015"/>
    <n v="12"/>
    <x v="1"/>
    <x v="1"/>
    <n v="0"/>
    <x v="27"/>
    <x v="2"/>
    <x v="3"/>
    <n v="12"/>
    <n v="12"/>
    <n v="144"/>
    <n v="144"/>
    <x v="23"/>
    <x v="5"/>
    <x v="0"/>
  </r>
  <r>
    <d v="2021-06-16T00:00:00"/>
    <s v="P0039"/>
    <n v="11"/>
    <x v="2"/>
    <x v="1"/>
    <n v="0"/>
    <x v="34"/>
    <x v="1"/>
    <x v="3"/>
    <n v="37"/>
    <n v="37"/>
    <n v="407"/>
    <n v="407"/>
    <x v="23"/>
    <x v="5"/>
    <x v="0"/>
  </r>
  <r>
    <d v="2021-06-18T00:00:00"/>
    <s v="P0025"/>
    <n v="13"/>
    <x v="2"/>
    <x v="1"/>
    <n v="0"/>
    <x v="7"/>
    <x v="0"/>
    <x v="3"/>
    <n v="7"/>
    <n v="7"/>
    <n v="91"/>
    <n v="91"/>
    <x v="7"/>
    <x v="5"/>
    <x v="0"/>
  </r>
  <r>
    <d v="2021-06-19T00:00:00"/>
    <s v="P0041"/>
    <n v="5"/>
    <x v="2"/>
    <x v="0"/>
    <n v="0"/>
    <x v="41"/>
    <x v="1"/>
    <x v="0"/>
    <n v="138"/>
    <n v="138"/>
    <n v="690"/>
    <n v="690"/>
    <x v="8"/>
    <x v="5"/>
    <x v="0"/>
  </r>
  <r>
    <d v="2021-06-20T00:00:00"/>
    <s v="P0016"/>
    <n v="1"/>
    <x v="0"/>
    <x v="1"/>
    <n v="0"/>
    <x v="21"/>
    <x v="2"/>
    <x v="3"/>
    <n v="13"/>
    <n v="13"/>
    <n v="13"/>
    <n v="13"/>
    <x v="9"/>
    <x v="5"/>
    <x v="0"/>
  </r>
  <r>
    <d v="2021-06-23T00:00:00"/>
    <s v="P0016"/>
    <n v="4"/>
    <x v="2"/>
    <x v="0"/>
    <n v="0"/>
    <x v="21"/>
    <x v="2"/>
    <x v="3"/>
    <n v="13"/>
    <n v="13"/>
    <n v="52"/>
    <n v="52"/>
    <x v="19"/>
    <x v="5"/>
    <x v="0"/>
  </r>
  <r>
    <d v="2021-06-24T00:00:00"/>
    <s v="P0011"/>
    <n v="13"/>
    <x v="2"/>
    <x v="0"/>
    <n v="0"/>
    <x v="31"/>
    <x v="2"/>
    <x v="2"/>
    <n v="44"/>
    <n v="44"/>
    <n v="572"/>
    <n v="572"/>
    <x v="27"/>
    <x v="5"/>
    <x v="0"/>
  </r>
  <r>
    <d v="2021-06-26T00:00:00"/>
    <s v="P0009"/>
    <n v="7"/>
    <x v="1"/>
    <x v="0"/>
    <n v="0"/>
    <x v="37"/>
    <x v="3"/>
    <x v="3"/>
    <n v="6"/>
    <n v="6"/>
    <n v="42"/>
    <n v="42"/>
    <x v="12"/>
    <x v="5"/>
    <x v="0"/>
  </r>
  <r>
    <d v="2021-06-27T00:00:00"/>
    <s v="P0005"/>
    <n v="11"/>
    <x v="2"/>
    <x v="1"/>
    <n v="0"/>
    <x v="24"/>
    <x v="3"/>
    <x v="0"/>
    <n v="133"/>
    <n v="133"/>
    <n v="1463"/>
    <n v="1463"/>
    <x v="13"/>
    <x v="5"/>
    <x v="0"/>
  </r>
  <r>
    <d v="2021-06-28T00:00:00"/>
    <s v="P0021"/>
    <n v="2"/>
    <x v="1"/>
    <x v="1"/>
    <n v="0"/>
    <x v="32"/>
    <x v="0"/>
    <x v="0"/>
    <n v="126"/>
    <n v="126"/>
    <n v="252"/>
    <n v="252"/>
    <x v="14"/>
    <x v="5"/>
    <x v="0"/>
  </r>
  <r>
    <d v="2021-06-28T00:00:00"/>
    <s v="P0035"/>
    <n v="7"/>
    <x v="1"/>
    <x v="0"/>
    <n v="0"/>
    <x v="4"/>
    <x v="4"/>
    <x v="3"/>
    <n v="5"/>
    <n v="5"/>
    <n v="35"/>
    <n v="35"/>
    <x v="14"/>
    <x v="5"/>
    <x v="0"/>
  </r>
  <r>
    <d v="2021-06-29T00:00:00"/>
    <s v="P0014"/>
    <n v="4"/>
    <x v="2"/>
    <x v="0"/>
    <n v="0"/>
    <x v="9"/>
    <x v="2"/>
    <x v="1"/>
    <n v="112"/>
    <n v="112"/>
    <n v="448"/>
    <n v="448"/>
    <x v="28"/>
    <x v="5"/>
    <x v="0"/>
  </r>
  <r>
    <d v="2021-07-01T00:00:00"/>
    <s v="P0005"/>
    <n v="11"/>
    <x v="2"/>
    <x v="1"/>
    <n v="0"/>
    <x v="24"/>
    <x v="3"/>
    <x v="0"/>
    <n v="133"/>
    <n v="133"/>
    <n v="1463"/>
    <n v="1463"/>
    <x v="0"/>
    <x v="6"/>
    <x v="0"/>
  </r>
  <r>
    <d v="2021-07-02T00:00:00"/>
    <s v="P0010"/>
    <n v="11"/>
    <x v="2"/>
    <x v="1"/>
    <n v="0"/>
    <x v="20"/>
    <x v="2"/>
    <x v="0"/>
    <n v="148"/>
    <n v="148"/>
    <n v="1628"/>
    <n v="1628"/>
    <x v="1"/>
    <x v="6"/>
    <x v="0"/>
  </r>
  <r>
    <d v="2021-07-03T00:00:00"/>
    <s v="P0033"/>
    <n v="9"/>
    <x v="1"/>
    <x v="1"/>
    <n v="0"/>
    <x v="38"/>
    <x v="4"/>
    <x v="1"/>
    <n v="95"/>
    <n v="95"/>
    <n v="855"/>
    <n v="855"/>
    <x v="2"/>
    <x v="6"/>
    <x v="0"/>
  </r>
  <r>
    <d v="2021-07-03T00:00:00"/>
    <s v="P0003"/>
    <n v="8"/>
    <x v="1"/>
    <x v="1"/>
    <n v="0"/>
    <x v="6"/>
    <x v="3"/>
    <x v="1"/>
    <n v="71"/>
    <n v="71"/>
    <n v="568"/>
    <n v="568"/>
    <x v="2"/>
    <x v="6"/>
    <x v="0"/>
  </r>
  <r>
    <d v="2021-07-05T00:00:00"/>
    <s v="P0002"/>
    <n v="8"/>
    <x v="2"/>
    <x v="0"/>
    <n v="0"/>
    <x v="29"/>
    <x v="3"/>
    <x v="1"/>
    <n v="105"/>
    <n v="105"/>
    <n v="840"/>
    <n v="840"/>
    <x v="15"/>
    <x v="6"/>
    <x v="0"/>
  </r>
  <r>
    <d v="2021-07-06T00:00:00"/>
    <s v="P0041"/>
    <n v="15"/>
    <x v="2"/>
    <x v="1"/>
    <n v="0"/>
    <x v="41"/>
    <x v="1"/>
    <x v="0"/>
    <n v="138"/>
    <n v="138"/>
    <n v="2070"/>
    <n v="2070"/>
    <x v="16"/>
    <x v="6"/>
    <x v="0"/>
  </r>
  <r>
    <d v="2021-07-08T00:00:00"/>
    <s v="P0004"/>
    <n v="10"/>
    <x v="2"/>
    <x v="0"/>
    <n v="0"/>
    <x v="3"/>
    <x v="3"/>
    <x v="2"/>
    <n v="44"/>
    <n v="44"/>
    <n v="440"/>
    <n v="440"/>
    <x v="21"/>
    <x v="6"/>
    <x v="0"/>
  </r>
  <r>
    <d v="2021-07-10T00:00:00"/>
    <s v="P0034"/>
    <n v="6"/>
    <x v="0"/>
    <x v="1"/>
    <n v="0"/>
    <x v="13"/>
    <x v="4"/>
    <x v="2"/>
    <n v="55"/>
    <n v="55"/>
    <n v="330"/>
    <n v="330"/>
    <x v="26"/>
    <x v="6"/>
    <x v="0"/>
  </r>
  <r>
    <d v="2021-07-11T00:00:00"/>
    <s v="P0009"/>
    <n v="4"/>
    <x v="0"/>
    <x v="0"/>
    <n v="0"/>
    <x v="37"/>
    <x v="3"/>
    <x v="3"/>
    <n v="6"/>
    <n v="6"/>
    <n v="24"/>
    <n v="24"/>
    <x v="5"/>
    <x v="6"/>
    <x v="0"/>
  </r>
  <r>
    <d v="2021-07-13T00:00:00"/>
    <s v="P0019"/>
    <n v="1"/>
    <x v="2"/>
    <x v="1"/>
    <n v="0"/>
    <x v="40"/>
    <x v="2"/>
    <x v="0"/>
    <n v="150"/>
    <n v="150"/>
    <n v="150"/>
    <n v="150"/>
    <x v="22"/>
    <x v="6"/>
    <x v="0"/>
  </r>
  <r>
    <d v="2021-07-16T00:00:00"/>
    <s v="P0023"/>
    <n v="8"/>
    <x v="0"/>
    <x v="1"/>
    <n v="0"/>
    <x v="12"/>
    <x v="0"/>
    <x v="0"/>
    <n v="141"/>
    <n v="141"/>
    <n v="1128"/>
    <n v="1128"/>
    <x v="23"/>
    <x v="6"/>
    <x v="0"/>
  </r>
  <r>
    <d v="2021-07-18T00:00:00"/>
    <s v="P0027"/>
    <n v="14"/>
    <x v="1"/>
    <x v="0"/>
    <n v="0"/>
    <x v="26"/>
    <x v="4"/>
    <x v="2"/>
    <n v="48"/>
    <n v="48"/>
    <n v="672"/>
    <n v="672"/>
    <x v="7"/>
    <x v="6"/>
    <x v="0"/>
  </r>
  <r>
    <d v="2021-07-20T00:00:00"/>
    <s v="P0038"/>
    <n v="11"/>
    <x v="1"/>
    <x v="0"/>
    <n v="0"/>
    <x v="1"/>
    <x v="1"/>
    <x v="1"/>
    <n v="72"/>
    <n v="72"/>
    <n v="792"/>
    <n v="792"/>
    <x v="9"/>
    <x v="6"/>
    <x v="0"/>
  </r>
  <r>
    <d v="2021-07-20T00:00:00"/>
    <s v="P0043"/>
    <n v="5"/>
    <x v="2"/>
    <x v="0"/>
    <n v="0"/>
    <x v="23"/>
    <x v="1"/>
    <x v="1"/>
    <n v="67"/>
    <n v="67"/>
    <n v="335"/>
    <n v="335"/>
    <x v="9"/>
    <x v="6"/>
    <x v="0"/>
  </r>
  <r>
    <d v="2021-07-21T00:00:00"/>
    <s v="P0029"/>
    <n v="15"/>
    <x v="2"/>
    <x v="0"/>
    <n v="0"/>
    <x v="19"/>
    <x v="4"/>
    <x v="2"/>
    <n v="47"/>
    <n v="47"/>
    <n v="705"/>
    <n v="705"/>
    <x v="10"/>
    <x v="6"/>
    <x v="0"/>
  </r>
  <r>
    <d v="2021-07-22T00:00:00"/>
    <s v="P0026"/>
    <n v="3"/>
    <x v="0"/>
    <x v="1"/>
    <n v="0"/>
    <x v="42"/>
    <x v="4"/>
    <x v="3"/>
    <n v="18"/>
    <n v="18"/>
    <n v="54"/>
    <n v="54"/>
    <x v="18"/>
    <x v="6"/>
    <x v="0"/>
  </r>
  <r>
    <d v="2021-07-22T00:00:00"/>
    <s v="P0024"/>
    <n v="14"/>
    <x v="1"/>
    <x v="1"/>
    <n v="0"/>
    <x v="0"/>
    <x v="0"/>
    <x v="0"/>
    <n v="144"/>
    <n v="144"/>
    <n v="2016"/>
    <n v="2016"/>
    <x v="18"/>
    <x v="6"/>
    <x v="0"/>
  </r>
  <r>
    <d v="2021-07-23T00:00:00"/>
    <s v="P0036"/>
    <n v="7"/>
    <x v="0"/>
    <x v="0"/>
    <n v="0"/>
    <x v="43"/>
    <x v="4"/>
    <x v="1"/>
    <n v="90"/>
    <n v="90"/>
    <n v="630"/>
    <n v="630"/>
    <x v="19"/>
    <x v="6"/>
    <x v="0"/>
  </r>
  <r>
    <d v="2021-07-23T00:00:00"/>
    <s v="P0037"/>
    <n v="8"/>
    <x v="2"/>
    <x v="0"/>
    <n v="0"/>
    <x v="8"/>
    <x v="1"/>
    <x v="1"/>
    <n v="67"/>
    <n v="67"/>
    <n v="536"/>
    <n v="536"/>
    <x v="19"/>
    <x v="6"/>
    <x v="0"/>
  </r>
  <r>
    <d v="2021-07-24T00:00:00"/>
    <s v="P0009"/>
    <n v="4"/>
    <x v="1"/>
    <x v="1"/>
    <n v="0"/>
    <x v="37"/>
    <x v="3"/>
    <x v="3"/>
    <n v="6"/>
    <n v="6"/>
    <n v="24"/>
    <n v="24"/>
    <x v="27"/>
    <x v="6"/>
    <x v="0"/>
  </r>
  <r>
    <d v="2021-07-29T00:00:00"/>
    <s v="P0044"/>
    <n v="15"/>
    <x v="1"/>
    <x v="1"/>
    <n v="0"/>
    <x v="11"/>
    <x v="1"/>
    <x v="1"/>
    <n v="76"/>
    <n v="76"/>
    <n v="1140"/>
    <n v="1140"/>
    <x v="28"/>
    <x v="6"/>
    <x v="0"/>
  </r>
  <r>
    <d v="2021-08-01T00:00:00"/>
    <s v="P0001"/>
    <n v="11"/>
    <x v="2"/>
    <x v="1"/>
    <n v="0"/>
    <x v="16"/>
    <x v="3"/>
    <x v="1"/>
    <n v="98"/>
    <n v="98"/>
    <n v="1078"/>
    <n v="1078"/>
    <x v="0"/>
    <x v="7"/>
    <x v="0"/>
  </r>
  <r>
    <d v="2021-08-02T00:00:00"/>
    <s v="P0023"/>
    <n v="3"/>
    <x v="2"/>
    <x v="0"/>
    <n v="0"/>
    <x v="12"/>
    <x v="0"/>
    <x v="0"/>
    <n v="141"/>
    <n v="141"/>
    <n v="423"/>
    <n v="423"/>
    <x v="1"/>
    <x v="7"/>
    <x v="0"/>
  </r>
  <r>
    <d v="2021-08-03T00:00:00"/>
    <s v="P0022"/>
    <n v="13"/>
    <x v="1"/>
    <x v="0"/>
    <n v="0"/>
    <x v="22"/>
    <x v="0"/>
    <x v="0"/>
    <n v="121"/>
    <n v="121"/>
    <n v="1573"/>
    <n v="1573"/>
    <x v="2"/>
    <x v="7"/>
    <x v="0"/>
  </r>
  <r>
    <d v="2021-08-03T00:00:00"/>
    <s v="P0034"/>
    <n v="12"/>
    <x v="1"/>
    <x v="0"/>
    <n v="0"/>
    <x v="13"/>
    <x v="4"/>
    <x v="2"/>
    <n v="55"/>
    <n v="55"/>
    <n v="660"/>
    <n v="660"/>
    <x v="2"/>
    <x v="7"/>
    <x v="0"/>
  </r>
  <r>
    <d v="2021-08-05T00:00:00"/>
    <s v="P0028"/>
    <n v="14"/>
    <x v="2"/>
    <x v="1"/>
    <n v="0"/>
    <x v="33"/>
    <x v="4"/>
    <x v="3"/>
    <n v="37"/>
    <n v="37"/>
    <n v="518"/>
    <n v="518"/>
    <x v="15"/>
    <x v="7"/>
    <x v="0"/>
  </r>
  <r>
    <d v="2021-08-06T00:00:00"/>
    <s v="P0037"/>
    <n v="1"/>
    <x v="0"/>
    <x v="1"/>
    <n v="0"/>
    <x v="8"/>
    <x v="1"/>
    <x v="1"/>
    <n v="67"/>
    <n v="67"/>
    <n v="67"/>
    <n v="67"/>
    <x v="16"/>
    <x v="7"/>
    <x v="0"/>
  </r>
  <r>
    <d v="2021-08-10T00:00:00"/>
    <s v="P0005"/>
    <n v="4"/>
    <x v="0"/>
    <x v="1"/>
    <n v="0"/>
    <x v="24"/>
    <x v="3"/>
    <x v="0"/>
    <n v="133"/>
    <n v="133"/>
    <n v="532"/>
    <n v="532"/>
    <x v="26"/>
    <x v="7"/>
    <x v="0"/>
  </r>
  <r>
    <d v="2021-08-10T00:00:00"/>
    <s v="P0044"/>
    <n v="10"/>
    <x v="1"/>
    <x v="1"/>
    <n v="0"/>
    <x v="11"/>
    <x v="1"/>
    <x v="1"/>
    <n v="76"/>
    <n v="76"/>
    <n v="760"/>
    <n v="760"/>
    <x v="26"/>
    <x v="7"/>
    <x v="0"/>
  </r>
  <r>
    <d v="2021-08-10T00:00:00"/>
    <s v="P0006"/>
    <n v="6"/>
    <x v="2"/>
    <x v="1"/>
    <n v="0"/>
    <x v="15"/>
    <x v="3"/>
    <x v="1"/>
    <n v="75"/>
    <n v="75"/>
    <n v="450"/>
    <n v="450"/>
    <x v="26"/>
    <x v="7"/>
    <x v="0"/>
  </r>
  <r>
    <d v="2021-08-11T00:00:00"/>
    <s v="P0023"/>
    <n v="4"/>
    <x v="2"/>
    <x v="0"/>
    <n v="0"/>
    <x v="12"/>
    <x v="0"/>
    <x v="0"/>
    <n v="141"/>
    <n v="141"/>
    <n v="564"/>
    <n v="564"/>
    <x v="5"/>
    <x v="7"/>
    <x v="0"/>
  </r>
  <r>
    <d v="2021-08-13T00:00:00"/>
    <s v="P0011"/>
    <n v="13"/>
    <x v="2"/>
    <x v="0"/>
    <n v="0"/>
    <x v="31"/>
    <x v="2"/>
    <x v="2"/>
    <n v="44"/>
    <n v="44"/>
    <n v="572"/>
    <n v="572"/>
    <x v="22"/>
    <x v="7"/>
    <x v="0"/>
  </r>
  <r>
    <d v="2021-08-13T00:00:00"/>
    <s v="P0027"/>
    <n v="9"/>
    <x v="2"/>
    <x v="0"/>
    <n v="0"/>
    <x v="26"/>
    <x v="4"/>
    <x v="2"/>
    <n v="48"/>
    <n v="48"/>
    <n v="432"/>
    <n v="432"/>
    <x v="22"/>
    <x v="7"/>
    <x v="0"/>
  </r>
  <r>
    <d v="2021-08-16T00:00:00"/>
    <s v="P0003"/>
    <n v="3"/>
    <x v="1"/>
    <x v="0"/>
    <n v="0"/>
    <x v="6"/>
    <x v="3"/>
    <x v="1"/>
    <n v="71"/>
    <n v="71"/>
    <n v="213"/>
    <n v="213"/>
    <x v="23"/>
    <x v="7"/>
    <x v="0"/>
  </r>
  <r>
    <d v="2021-08-18T00:00:00"/>
    <s v="P0025"/>
    <n v="6"/>
    <x v="2"/>
    <x v="0"/>
    <n v="0"/>
    <x v="7"/>
    <x v="0"/>
    <x v="3"/>
    <n v="7"/>
    <n v="7"/>
    <n v="42"/>
    <n v="42"/>
    <x v="7"/>
    <x v="7"/>
    <x v="0"/>
  </r>
  <r>
    <d v="2021-08-20T00:00:00"/>
    <s v="P0020"/>
    <n v="15"/>
    <x v="2"/>
    <x v="1"/>
    <n v="0"/>
    <x v="14"/>
    <x v="0"/>
    <x v="2"/>
    <n v="61"/>
    <n v="61"/>
    <n v="915"/>
    <n v="915"/>
    <x v="9"/>
    <x v="7"/>
    <x v="0"/>
  </r>
  <r>
    <d v="2021-08-20T00:00:00"/>
    <s v="P0031"/>
    <n v="9"/>
    <x v="2"/>
    <x v="0"/>
    <n v="0"/>
    <x v="5"/>
    <x v="4"/>
    <x v="1"/>
    <n v="93"/>
    <n v="93"/>
    <n v="837"/>
    <n v="837"/>
    <x v="9"/>
    <x v="7"/>
    <x v="0"/>
  </r>
  <r>
    <d v="2021-08-20T00:00:00"/>
    <s v="P0028"/>
    <n v="13"/>
    <x v="2"/>
    <x v="0"/>
    <n v="0"/>
    <x v="33"/>
    <x v="4"/>
    <x v="3"/>
    <n v="37"/>
    <n v="37"/>
    <n v="481"/>
    <n v="481"/>
    <x v="9"/>
    <x v="7"/>
    <x v="0"/>
  </r>
  <r>
    <d v="2021-08-26T00:00:00"/>
    <s v="P0039"/>
    <n v="4"/>
    <x v="2"/>
    <x v="0"/>
    <n v="0"/>
    <x v="34"/>
    <x v="1"/>
    <x v="3"/>
    <n v="37"/>
    <n v="37"/>
    <n v="148"/>
    <n v="148"/>
    <x v="12"/>
    <x v="7"/>
    <x v="0"/>
  </r>
  <r>
    <d v="2021-08-29T00:00:00"/>
    <s v="P0034"/>
    <n v="12"/>
    <x v="0"/>
    <x v="0"/>
    <n v="0"/>
    <x v="13"/>
    <x v="4"/>
    <x v="2"/>
    <n v="55"/>
    <n v="55"/>
    <n v="660"/>
    <n v="660"/>
    <x v="28"/>
    <x v="7"/>
    <x v="0"/>
  </r>
  <r>
    <d v="2021-08-30T00:00:00"/>
    <s v="P0013"/>
    <n v="13"/>
    <x v="2"/>
    <x v="0"/>
    <n v="0"/>
    <x v="2"/>
    <x v="2"/>
    <x v="1"/>
    <n v="112"/>
    <n v="112"/>
    <n v="1456"/>
    <n v="1456"/>
    <x v="24"/>
    <x v="7"/>
    <x v="0"/>
  </r>
  <r>
    <d v="2021-08-31T00:00:00"/>
    <s v="P0001"/>
    <n v="2"/>
    <x v="2"/>
    <x v="0"/>
    <n v="0"/>
    <x v="16"/>
    <x v="3"/>
    <x v="1"/>
    <n v="98"/>
    <n v="98"/>
    <n v="196"/>
    <n v="196"/>
    <x v="25"/>
    <x v="7"/>
    <x v="0"/>
  </r>
  <r>
    <d v="2021-08-31T00:00:00"/>
    <s v="P0035"/>
    <n v="11"/>
    <x v="2"/>
    <x v="0"/>
    <n v="0"/>
    <x v="4"/>
    <x v="4"/>
    <x v="3"/>
    <n v="5"/>
    <n v="5"/>
    <n v="55"/>
    <n v="55"/>
    <x v="25"/>
    <x v="7"/>
    <x v="0"/>
  </r>
  <r>
    <d v="2021-09-01T00:00:00"/>
    <s v="P0024"/>
    <n v="1"/>
    <x v="0"/>
    <x v="1"/>
    <n v="0"/>
    <x v="0"/>
    <x v="0"/>
    <x v="0"/>
    <n v="144"/>
    <n v="144"/>
    <n v="144"/>
    <n v="144"/>
    <x v="0"/>
    <x v="8"/>
    <x v="0"/>
  </r>
  <r>
    <d v="2021-09-01T00:00:00"/>
    <s v="P0003"/>
    <n v="14"/>
    <x v="1"/>
    <x v="0"/>
    <n v="0"/>
    <x v="6"/>
    <x v="3"/>
    <x v="1"/>
    <n v="71"/>
    <n v="71"/>
    <n v="994"/>
    <n v="994"/>
    <x v="0"/>
    <x v="8"/>
    <x v="0"/>
  </r>
  <r>
    <d v="2021-09-03T00:00:00"/>
    <s v="P0041"/>
    <n v="8"/>
    <x v="2"/>
    <x v="0"/>
    <n v="0"/>
    <x v="41"/>
    <x v="1"/>
    <x v="0"/>
    <n v="138"/>
    <n v="138"/>
    <n v="1104"/>
    <n v="1104"/>
    <x v="2"/>
    <x v="8"/>
    <x v="0"/>
  </r>
  <r>
    <d v="2021-09-04T00:00:00"/>
    <s v="P0028"/>
    <n v="7"/>
    <x v="2"/>
    <x v="0"/>
    <n v="0"/>
    <x v="33"/>
    <x v="4"/>
    <x v="3"/>
    <n v="37"/>
    <n v="37"/>
    <n v="259"/>
    <n v="259"/>
    <x v="3"/>
    <x v="8"/>
    <x v="0"/>
  </r>
  <r>
    <d v="2021-09-04T00:00:00"/>
    <s v="P0023"/>
    <n v="15"/>
    <x v="2"/>
    <x v="0"/>
    <n v="0"/>
    <x v="12"/>
    <x v="0"/>
    <x v="0"/>
    <n v="141"/>
    <n v="141"/>
    <n v="2115"/>
    <n v="2115"/>
    <x v="3"/>
    <x v="8"/>
    <x v="0"/>
  </r>
  <r>
    <d v="2021-09-05T00:00:00"/>
    <s v="P0032"/>
    <n v="1"/>
    <x v="2"/>
    <x v="1"/>
    <n v="0"/>
    <x v="18"/>
    <x v="4"/>
    <x v="1"/>
    <n v="89"/>
    <n v="89"/>
    <n v="89"/>
    <n v="89"/>
    <x v="15"/>
    <x v="8"/>
    <x v="0"/>
  </r>
  <r>
    <d v="2021-09-07T00:00:00"/>
    <s v="P0019"/>
    <n v="5"/>
    <x v="2"/>
    <x v="0"/>
    <n v="0"/>
    <x v="40"/>
    <x v="2"/>
    <x v="0"/>
    <n v="150"/>
    <n v="150"/>
    <n v="750"/>
    <n v="750"/>
    <x v="20"/>
    <x v="8"/>
    <x v="0"/>
  </r>
  <r>
    <d v="2021-09-09T00:00:00"/>
    <s v="P0044"/>
    <n v="4"/>
    <x v="2"/>
    <x v="0"/>
    <n v="0"/>
    <x v="11"/>
    <x v="1"/>
    <x v="1"/>
    <n v="76"/>
    <n v="76"/>
    <n v="304"/>
    <n v="304"/>
    <x v="4"/>
    <x v="8"/>
    <x v="0"/>
  </r>
  <r>
    <d v="2021-09-10T00:00:00"/>
    <s v="P0030"/>
    <n v="6"/>
    <x v="2"/>
    <x v="0"/>
    <n v="0"/>
    <x v="28"/>
    <x v="4"/>
    <x v="0"/>
    <n v="148"/>
    <n v="148"/>
    <n v="888"/>
    <n v="888"/>
    <x v="26"/>
    <x v="8"/>
    <x v="0"/>
  </r>
  <r>
    <d v="2021-09-10T00:00:00"/>
    <s v="P0001"/>
    <n v="9"/>
    <x v="0"/>
    <x v="0"/>
    <n v="0"/>
    <x v="16"/>
    <x v="3"/>
    <x v="1"/>
    <n v="98"/>
    <n v="98"/>
    <n v="882"/>
    <n v="882"/>
    <x v="26"/>
    <x v="8"/>
    <x v="0"/>
  </r>
  <r>
    <d v="2021-09-10T00:00:00"/>
    <s v="P0026"/>
    <n v="2"/>
    <x v="2"/>
    <x v="0"/>
    <n v="0"/>
    <x v="42"/>
    <x v="4"/>
    <x v="3"/>
    <n v="18"/>
    <n v="18"/>
    <n v="36"/>
    <n v="36"/>
    <x v="26"/>
    <x v="8"/>
    <x v="0"/>
  </r>
  <r>
    <d v="2021-09-11T00:00:00"/>
    <s v="P0001"/>
    <n v="6"/>
    <x v="0"/>
    <x v="0"/>
    <n v="0"/>
    <x v="16"/>
    <x v="3"/>
    <x v="1"/>
    <n v="98"/>
    <n v="98"/>
    <n v="588"/>
    <n v="588"/>
    <x v="5"/>
    <x v="8"/>
    <x v="0"/>
  </r>
  <r>
    <d v="2021-09-13T00:00:00"/>
    <s v="P0041"/>
    <n v="7"/>
    <x v="2"/>
    <x v="1"/>
    <n v="0"/>
    <x v="41"/>
    <x v="1"/>
    <x v="0"/>
    <n v="138"/>
    <n v="138"/>
    <n v="966"/>
    <n v="966"/>
    <x v="22"/>
    <x v="8"/>
    <x v="0"/>
  </r>
  <r>
    <d v="2021-09-15T00:00:00"/>
    <s v="P0042"/>
    <n v="6"/>
    <x v="2"/>
    <x v="0"/>
    <n v="0"/>
    <x v="10"/>
    <x v="1"/>
    <x v="0"/>
    <n v="120"/>
    <n v="120"/>
    <n v="720"/>
    <n v="720"/>
    <x v="17"/>
    <x v="8"/>
    <x v="0"/>
  </r>
  <r>
    <d v="2021-09-15T00:00:00"/>
    <s v="P0042"/>
    <n v="14"/>
    <x v="2"/>
    <x v="0"/>
    <n v="0"/>
    <x v="10"/>
    <x v="1"/>
    <x v="0"/>
    <n v="120"/>
    <n v="120"/>
    <n v="1680"/>
    <n v="1680"/>
    <x v="17"/>
    <x v="8"/>
    <x v="0"/>
  </r>
  <r>
    <d v="2021-09-21T00:00:00"/>
    <s v="P0020"/>
    <n v="7"/>
    <x v="0"/>
    <x v="1"/>
    <n v="0"/>
    <x v="14"/>
    <x v="0"/>
    <x v="2"/>
    <n v="61"/>
    <n v="61"/>
    <n v="427"/>
    <n v="427"/>
    <x v="10"/>
    <x v="8"/>
    <x v="0"/>
  </r>
  <r>
    <d v="2021-09-22T00:00:00"/>
    <s v="P0040"/>
    <n v="2"/>
    <x v="1"/>
    <x v="1"/>
    <n v="0"/>
    <x v="17"/>
    <x v="1"/>
    <x v="1"/>
    <n v="90"/>
    <n v="90"/>
    <n v="180"/>
    <n v="180"/>
    <x v="18"/>
    <x v="8"/>
    <x v="0"/>
  </r>
  <r>
    <d v="2021-09-22T00:00:00"/>
    <s v="P0002"/>
    <n v="4"/>
    <x v="2"/>
    <x v="1"/>
    <n v="0"/>
    <x v="29"/>
    <x v="3"/>
    <x v="1"/>
    <n v="105"/>
    <n v="105"/>
    <n v="420"/>
    <n v="420"/>
    <x v="18"/>
    <x v="8"/>
    <x v="0"/>
  </r>
  <r>
    <d v="2021-09-23T00:00:00"/>
    <s v="P0018"/>
    <n v="12"/>
    <x v="2"/>
    <x v="1"/>
    <n v="0"/>
    <x v="30"/>
    <x v="2"/>
    <x v="3"/>
    <n v="37"/>
    <n v="37"/>
    <n v="444"/>
    <n v="444"/>
    <x v="19"/>
    <x v="8"/>
    <x v="0"/>
  </r>
  <r>
    <d v="2021-09-23T00:00:00"/>
    <s v="P0021"/>
    <n v="7"/>
    <x v="1"/>
    <x v="0"/>
    <n v="0"/>
    <x v="32"/>
    <x v="0"/>
    <x v="0"/>
    <n v="126"/>
    <n v="126"/>
    <n v="882"/>
    <n v="882"/>
    <x v="19"/>
    <x v="8"/>
    <x v="0"/>
  </r>
  <r>
    <d v="2021-09-27T00:00:00"/>
    <s v="P0034"/>
    <n v="1"/>
    <x v="2"/>
    <x v="1"/>
    <n v="0"/>
    <x v="13"/>
    <x v="4"/>
    <x v="2"/>
    <n v="55"/>
    <n v="55"/>
    <n v="55"/>
    <n v="55"/>
    <x v="13"/>
    <x v="8"/>
    <x v="0"/>
  </r>
  <r>
    <d v="2021-09-30T00:00:00"/>
    <s v="P0014"/>
    <n v="9"/>
    <x v="1"/>
    <x v="0"/>
    <n v="0"/>
    <x v="9"/>
    <x v="2"/>
    <x v="1"/>
    <n v="112"/>
    <n v="112"/>
    <n v="1008"/>
    <n v="1008"/>
    <x v="24"/>
    <x v="8"/>
    <x v="0"/>
  </r>
  <r>
    <d v="2021-09-30T00:00:00"/>
    <s v="P0006"/>
    <n v="5"/>
    <x v="1"/>
    <x v="0"/>
    <n v="0"/>
    <x v="15"/>
    <x v="3"/>
    <x v="1"/>
    <n v="75"/>
    <n v="75"/>
    <n v="375"/>
    <n v="375"/>
    <x v="24"/>
    <x v="8"/>
    <x v="0"/>
  </r>
  <r>
    <d v="2021-10-01T00:00:00"/>
    <s v="P0030"/>
    <n v="14"/>
    <x v="1"/>
    <x v="1"/>
    <n v="0"/>
    <x v="28"/>
    <x v="4"/>
    <x v="0"/>
    <n v="148"/>
    <n v="148"/>
    <n v="2072"/>
    <n v="2072"/>
    <x v="0"/>
    <x v="9"/>
    <x v="0"/>
  </r>
  <r>
    <d v="2021-10-02T00:00:00"/>
    <s v="P0014"/>
    <n v="15"/>
    <x v="2"/>
    <x v="0"/>
    <n v="0"/>
    <x v="9"/>
    <x v="2"/>
    <x v="1"/>
    <n v="112"/>
    <n v="112"/>
    <n v="1680"/>
    <n v="1680"/>
    <x v="1"/>
    <x v="9"/>
    <x v="0"/>
  </r>
  <r>
    <d v="2021-10-03T00:00:00"/>
    <s v="P0019"/>
    <n v="9"/>
    <x v="2"/>
    <x v="0"/>
    <n v="0"/>
    <x v="40"/>
    <x v="2"/>
    <x v="0"/>
    <n v="150"/>
    <n v="150"/>
    <n v="1350"/>
    <n v="1350"/>
    <x v="2"/>
    <x v="9"/>
    <x v="0"/>
  </r>
  <r>
    <d v="2021-10-06T00:00:00"/>
    <s v="P0035"/>
    <n v="1"/>
    <x v="2"/>
    <x v="0"/>
    <n v="0"/>
    <x v="4"/>
    <x v="4"/>
    <x v="3"/>
    <n v="5"/>
    <n v="5"/>
    <n v="5"/>
    <n v="5"/>
    <x v="16"/>
    <x v="9"/>
    <x v="0"/>
  </r>
  <r>
    <d v="2021-10-06T00:00:00"/>
    <s v="P0036"/>
    <n v="12"/>
    <x v="1"/>
    <x v="0"/>
    <n v="0"/>
    <x v="43"/>
    <x v="4"/>
    <x v="1"/>
    <n v="90"/>
    <n v="90"/>
    <n v="1080"/>
    <n v="1080"/>
    <x v="16"/>
    <x v="9"/>
    <x v="0"/>
  </r>
  <r>
    <d v="2021-10-07T00:00:00"/>
    <s v="P0026"/>
    <n v="6"/>
    <x v="2"/>
    <x v="1"/>
    <n v="0"/>
    <x v="42"/>
    <x v="4"/>
    <x v="3"/>
    <n v="18"/>
    <n v="18"/>
    <n v="108"/>
    <n v="108"/>
    <x v="20"/>
    <x v="9"/>
    <x v="0"/>
  </r>
  <r>
    <d v="2021-10-09T00:00:00"/>
    <s v="P0038"/>
    <n v="5"/>
    <x v="2"/>
    <x v="1"/>
    <n v="0"/>
    <x v="1"/>
    <x v="1"/>
    <x v="1"/>
    <n v="72"/>
    <n v="72"/>
    <n v="360"/>
    <n v="360"/>
    <x v="4"/>
    <x v="9"/>
    <x v="0"/>
  </r>
  <r>
    <d v="2021-10-09T00:00:00"/>
    <s v="P0032"/>
    <n v="11"/>
    <x v="1"/>
    <x v="1"/>
    <n v="0"/>
    <x v="18"/>
    <x v="4"/>
    <x v="1"/>
    <n v="89"/>
    <n v="89"/>
    <n v="979"/>
    <n v="979"/>
    <x v="4"/>
    <x v="9"/>
    <x v="0"/>
  </r>
  <r>
    <d v="2021-10-10T00:00:00"/>
    <s v="P0035"/>
    <n v="14"/>
    <x v="2"/>
    <x v="1"/>
    <n v="0"/>
    <x v="4"/>
    <x v="4"/>
    <x v="3"/>
    <n v="5"/>
    <n v="5"/>
    <n v="70"/>
    <n v="70"/>
    <x v="26"/>
    <x v="9"/>
    <x v="0"/>
  </r>
  <r>
    <d v="2021-10-11T00:00:00"/>
    <s v="P0011"/>
    <n v="15"/>
    <x v="2"/>
    <x v="1"/>
    <n v="0"/>
    <x v="31"/>
    <x v="2"/>
    <x v="2"/>
    <n v="44"/>
    <n v="44"/>
    <n v="660"/>
    <n v="660"/>
    <x v="5"/>
    <x v="9"/>
    <x v="0"/>
  </r>
  <r>
    <d v="2021-10-12T00:00:00"/>
    <s v="P0027"/>
    <n v="8"/>
    <x v="1"/>
    <x v="0"/>
    <n v="0"/>
    <x v="26"/>
    <x v="4"/>
    <x v="2"/>
    <n v="48"/>
    <n v="48"/>
    <n v="384"/>
    <n v="384"/>
    <x v="6"/>
    <x v="9"/>
    <x v="0"/>
  </r>
  <r>
    <d v="2021-10-17T00:00:00"/>
    <s v="P0001"/>
    <n v="13"/>
    <x v="2"/>
    <x v="0"/>
    <n v="0"/>
    <x v="16"/>
    <x v="3"/>
    <x v="1"/>
    <n v="98"/>
    <n v="98"/>
    <n v="1274"/>
    <n v="1274"/>
    <x v="30"/>
    <x v="9"/>
    <x v="0"/>
  </r>
  <r>
    <d v="2021-10-18T00:00:00"/>
    <s v="P0025"/>
    <n v="6"/>
    <x v="1"/>
    <x v="1"/>
    <n v="0"/>
    <x v="7"/>
    <x v="0"/>
    <x v="3"/>
    <n v="7"/>
    <n v="7"/>
    <n v="42"/>
    <n v="42"/>
    <x v="7"/>
    <x v="9"/>
    <x v="0"/>
  </r>
  <r>
    <d v="2021-10-18T00:00:00"/>
    <s v="P0021"/>
    <n v="13"/>
    <x v="1"/>
    <x v="1"/>
    <n v="0"/>
    <x v="32"/>
    <x v="0"/>
    <x v="0"/>
    <n v="126"/>
    <n v="126"/>
    <n v="1638"/>
    <n v="1638"/>
    <x v="7"/>
    <x v="9"/>
    <x v="0"/>
  </r>
  <r>
    <d v="2021-10-22T00:00:00"/>
    <s v="P0011"/>
    <n v="7"/>
    <x v="2"/>
    <x v="1"/>
    <n v="0"/>
    <x v="31"/>
    <x v="2"/>
    <x v="2"/>
    <n v="44"/>
    <n v="44"/>
    <n v="308"/>
    <n v="308"/>
    <x v="18"/>
    <x v="9"/>
    <x v="0"/>
  </r>
  <r>
    <d v="2021-10-22T00:00:00"/>
    <s v="P0024"/>
    <n v="13"/>
    <x v="1"/>
    <x v="1"/>
    <n v="0"/>
    <x v="0"/>
    <x v="0"/>
    <x v="0"/>
    <n v="144"/>
    <n v="144"/>
    <n v="1872"/>
    <n v="1872"/>
    <x v="18"/>
    <x v="9"/>
    <x v="0"/>
  </r>
  <r>
    <d v="2021-10-22T00:00:00"/>
    <s v="P0009"/>
    <n v="1"/>
    <x v="2"/>
    <x v="1"/>
    <n v="0"/>
    <x v="37"/>
    <x v="3"/>
    <x v="3"/>
    <n v="6"/>
    <n v="6"/>
    <n v="6"/>
    <n v="6"/>
    <x v="18"/>
    <x v="9"/>
    <x v="0"/>
  </r>
  <r>
    <d v="2021-10-24T00:00:00"/>
    <s v="P0011"/>
    <n v="3"/>
    <x v="0"/>
    <x v="1"/>
    <n v="0"/>
    <x v="31"/>
    <x v="2"/>
    <x v="2"/>
    <n v="44"/>
    <n v="44"/>
    <n v="132"/>
    <n v="132"/>
    <x v="27"/>
    <x v="9"/>
    <x v="0"/>
  </r>
  <r>
    <d v="2021-10-25T00:00:00"/>
    <s v="P0044"/>
    <n v="9"/>
    <x v="1"/>
    <x v="1"/>
    <n v="0"/>
    <x v="11"/>
    <x v="1"/>
    <x v="1"/>
    <n v="76"/>
    <n v="76"/>
    <n v="684"/>
    <n v="684"/>
    <x v="11"/>
    <x v="9"/>
    <x v="0"/>
  </r>
  <r>
    <d v="2021-10-26T00:00:00"/>
    <s v="P0004"/>
    <n v="6"/>
    <x v="0"/>
    <x v="1"/>
    <n v="0"/>
    <x v="3"/>
    <x v="3"/>
    <x v="2"/>
    <n v="44"/>
    <n v="44"/>
    <n v="264"/>
    <n v="264"/>
    <x v="12"/>
    <x v="9"/>
    <x v="0"/>
  </r>
  <r>
    <d v="2021-10-28T00:00:00"/>
    <s v="P0008"/>
    <n v="1"/>
    <x v="2"/>
    <x v="1"/>
    <n v="0"/>
    <x v="25"/>
    <x v="3"/>
    <x v="1"/>
    <n v="83"/>
    <n v="83"/>
    <n v="83"/>
    <n v="83"/>
    <x v="14"/>
    <x v="9"/>
    <x v="0"/>
  </r>
  <r>
    <d v="2021-10-29T00:00:00"/>
    <s v="P0038"/>
    <n v="14"/>
    <x v="1"/>
    <x v="0"/>
    <n v="0"/>
    <x v="1"/>
    <x v="1"/>
    <x v="1"/>
    <n v="72"/>
    <n v="72"/>
    <n v="1008"/>
    <n v="1008"/>
    <x v="28"/>
    <x v="9"/>
    <x v="0"/>
  </r>
  <r>
    <d v="2021-10-31T00:00:00"/>
    <s v="P0021"/>
    <n v="6"/>
    <x v="1"/>
    <x v="1"/>
    <n v="0"/>
    <x v="32"/>
    <x v="0"/>
    <x v="0"/>
    <n v="126"/>
    <n v="126"/>
    <n v="756"/>
    <n v="756"/>
    <x v="25"/>
    <x v="9"/>
    <x v="0"/>
  </r>
  <r>
    <d v="2021-11-03T00:00:00"/>
    <s v="P0013"/>
    <n v="12"/>
    <x v="2"/>
    <x v="1"/>
    <n v="0"/>
    <x v="2"/>
    <x v="2"/>
    <x v="1"/>
    <n v="112"/>
    <n v="112"/>
    <n v="1344"/>
    <n v="1344"/>
    <x v="2"/>
    <x v="10"/>
    <x v="0"/>
  </r>
  <r>
    <d v="2021-11-06T00:00:00"/>
    <s v="P0036"/>
    <n v="10"/>
    <x v="2"/>
    <x v="0"/>
    <n v="0"/>
    <x v="43"/>
    <x v="4"/>
    <x v="1"/>
    <n v="90"/>
    <n v="90"/>
    <n v="900"/>
    <n v="900"/>
    <x v="16"/>
    <x v="10"/>
    <x v="0"/>
  </r>
  <r>
    <d v="2021-11-08T00:00:00"/>
    <s v="P0007"/>
    <n v="15"/>
    <x v="2"/>
    <x v="0"/>
    <n v="0"/>
    <x v="36"/>
    <x v="3"/>
    <x v="2"/>
    <n v="43"/>
    <n v="43"/>
    <n v="645"/>
    <n v="645"/>
    <x v="21"/>
    <x v="10"/>
    <x v="0"/>
  </r>
  <r>
    <d v="2021-11-10T00:00:00"/>
    <s v="P0042"/>
    <n v="6"/>
    <x v="1"/>
    <x v="1"/>
    <n v="0"/>
    <x v="10"/>
    <x v="1"/>
    <x v="0"/>
    <n v="120"/>
    <n v="120"/>
    <n v="720"/>
    <n v="720"/>
    <x v="26"/>
    <x v="10"/>
    <x v="0"/>
  </r>
  <r>
    <d v="2021-11-11T00:00:00"/>
    <s v="P0040"/>
    <n v="12"/>
    <x v="0"/>
    <x v="0"/>
    <n v="0"/>
    <x v="17"/>
    <x v="1"/>
    <x v="1"/>
    <n v="90"/>
    <n v="90"/>
    <n v="1080"/>
    <n v="1080"/>
    <x v="5"/>
    <x v="10"/>
    <x v="0"/>
  </r>
  <r>
    <d v="2021-11-12T00:00:00"/>
    <s v="P0010"/>
    <n v="3"/>
    <x v="1"/>
    <x v="1"/>
    <n v="0"/>
    <x v="20"/>
    <x v="2"/>
    <x v="0"/>
    <n v="148"/>
    <n v="148"/>
    <n v="444"/>
    <n v="444"/>
    <x v="6"/>
    <x v="10"/>
    <x v="0"/>
  </r>
  <r>
    <d v="2021-11-20T00:00:00"/>
    <s v="P0034"/>
    <n v="14"/>
    <x v="1"/>
    <x v="0"/>
    <n v="0"/>
    <x v="13"/>
    <x v="4"/>
    <x v="2"/>
    <n v="55"/>
    <n v="55"/>
    <n v="770"/>
    <n v="770"/>
    <x v="9"/>
    <x v="10"/>
    <x v="0"/>
  </r>
  <r>
    <d v="2021-11-20T00:00:00"/>
    <s v="P0008"/>
    <n v="11"/>
    <x v="1"/>
    <x v="1"/>
    <n v="0"/>
    <x v="25"/>
    <x v="3"/>
    <x v="1"/>
    <n v="83"/>
    <n v="83"/>
    <n v="913"/>
    <n v="913"/>
    <x v="9"/>
    <x v="10"/>
    <x v="0"/>
  </r>
  <r>
    <d v="2021-11-21T00:00:00"/>
    <s v="P0014"/>
    <n v="1"/>
    <x v="0"/>
    <x v="0"/>
    <n v="0"/>
    <x v="9"/>
    <x v="2"/>
    <x v="1"/>
    <n v="112"/>
    <n v="112"/>
    <n v="112"/>
    <n v="112"/>
    <x v="10"/>
    <x v="10"/>
    <x v="0"/>
  </r>
  <r>
    <d v="2021-11-21T00:00:00"/>
    <s v="P0006"/>
    <n v="1"/>
    <x v="1"/>
    <x v="1"/>
    <n v="0"/>
    <x v="15"/>
    <x v="3"/>
    <x v="1"/>
    <n v="75"/>
    <n v="75"/>
    <n v="75"/>
    <n v="75"/>
    <x v="10"/>
    <x v="10"/>
    <x v="0"/>
  </r>
  <r>
    <d v="2021-11-27T00:00:00"/>
    <s v="P0012"/>
    <n v="8"/>
    <x v="1"/>
    <x v="0"/>
    <n v="0"/>
    <x v="35"/>
    <x v="2"/>
    <x v="1"/>
    <n v="73"/>
    <n v="73"/>
    <n v="584"/>
    <n v="584"/>
    <x v="13"/>
    <x v="10"/>
    <x v="0"/>
  </r>
  <r>
    <d v="2021-11-28T00:00:00"/>
    <s v="P0040"/>
    <n v="2"/>
    <x v="2"/>
    <x v="1"/>
    <n v="0"/>
    <x v="17"/>
    <x v="1"/>
    <x v="1"/>
    <n v="90"/>
    <n v="90"/>
    <n v="180"/>
    <n v="180"/>
    <x v="14"/>
    <x v="10"/>
    <x v="0"/>
  </r>
  <r>
    <d v="2021-11-30T00:00:00"/>
    <s v="P0039"/>
    <n v="15"/>
    <x v="2"/>
    <x v="0"/>
    <n v="0"/>
    <x v="34"/>
    <x v="1"/>
    <x v="3"/>
    <n v="37"/>
    <n v="37"/>
    <n v="555"/>
    <n v="555"/>
    <x v="24"/>
    <x v="10"/>
    <x v="0"/>
  </r>
  <r>
    <d v="2021-12-02T00:00:00"/>
    <s v="P0016"/>
    <n v="10"/>
    <x v="2"/>
    <x v="1"/>
    <n v="0"/>
    <x v="21"/>
    <x v="2"/>
    <x v="3"/>
    <n v="13"/>
    <n v="13"/>
    <n v="130"/>
    <n v="130"/>
    <x v="1"/>
    <x v="11"/>
    <x v="0"/>
  </r>
  <r>
    <d v="2021-12-03T00:00:00"/>
    <s v="P0034"/>
    <n v="2"/>
    <x v="1"/>
    <x v="1"/>
    <n v="0"/>
    <x v="13"/>
    <x v="4"/>
    <x v="2"/>
    <n v="55"/>
    <n v="55"/>
    <n v="110"/>
    <n v="110"/>
    <x v="2"/>
    <x v="11"/>
    <x v="0"/>
  </r>
  <r>
    <d v="2021-12-03T00:00:00"/>
    <s v="P0019"/>
    <n v="8"/>
    <x v="1"/>
    <x v="0"/>
    <n v="0"/>
    <x v="40"/>
    <x v="2"/>
    <x v="0"/>
    <n v="150"/>
    <n v="150"/>
    <n v="1200"/>
    <n v="1200"/>
    <x v="2"/>
    <x v="11"/>
    <x v="0"/>
  </r>
  <r>
    <d v="2021-12-05T00:00:00"/>
    <s v="P0004"/>
    <n v="15"/>
    <x v="2"/>
    <x v="1"/>
    <n v="0"/>
    <x v="3"/>
    <x v="3"/>
    <x v="2"/>
    <n v="44"/>
    <n v="44"/>
    <n v="660"/>
    <n v="660"/>
    <x v="15"/>
    <x v="11"/>
    <x v="0"/>
  </r>
  <r>
    <d v="2021-12-05T00:00:00"/>
    <s v="P0010"/>
    <n v="1"/>
    <x v="2"/>
    <x v="0"/>
    <n v="0"/>
    <x v="20"/>
    <x v="2"/>
    <x v="0"/>
    <n v="148"/>
    <n v="148"/>
    <n v="148"/>
    <n v="148"/>
    <x v="15"/>
    <x v="11"/>
    <x v="0"/>
  </r>
  <r>
    <d v="2021-12-07T00:00:00"/>
    <s v="P0013"/>
    <n v="8"/>
    <x v="2"/>
    <x v="0"/>
    <n v="0"/>
    <x v="2"/>
    <x v="2"/>
    <x v="1"/>
    <n v="112"/>
    <n v="112"/>
    <n v="896"/>
    <n v="896"/>
    <x v="20"/>
    <x v="11"/>
    <x v="0"/>
  </r>
  <r>
    <d v="2021-12-08T00:00:00"/>
    <s v="P0044"/>
    <n v="14"/>
    <x v="2"/>
    <x v="0"/>
    <n v="0"/>
    <x v="11"/>
    <x v="1"/>
    <x v="1"/>
    <n v="76"/>
    <n v="76"/>
    <n v="1064"/>
    <n v="1064"/>
    <x v="21"/>
    <x v="11"/>
    <x v="0"/>
  </r>
  <r>
    <d v="2021-12-14T00:00:00"/>
    <s v="P0042"/>
    <n v="4"/>
    <x v="2"/>
    <x v="0"/>
    <n v="0"/>
    <x v="10"/>
    <x v="1"/>
    <x v="0"/>
    <n v="120"/>
    <n v="120"/>
    <n v="480"/>
    <n v="480"/>
    <x v="29"/>
    <x v="11"/>
    <x v="0"/>
  </r>
  <r>
    <d v="2021-12-18T00:00:00"/>
    <s v="P0003"/>
    <n v="2"/>
    <x v="2"/>
    <x v="1"/>
    <n v="0"/>
    <x v="6"/>
    <x v="3"/>
    <x v="1"/>
    <n v="71"/>
    <n v="71"/>
    <n v="142"/>
    <n v="142"/>
    <x v="7"/>
    <x v="11"/>
    <x v="0"/>
  </r>
  <r>
    <d v="2021-12-18T00:00:00"/>
    <s v="P0022"/>
    <n v="8"/>
    <x v="1"/>
    <x v="1"/>
    <n v="0"/>
    <x v="22"/>
    <x v="0"/>
    <x v="0"/>
    <n v="121"/>
    <n v="121"/>
    <n v="968"/>
    <n v="968"/>
    <x v="7"/>
    <x v="11"/>
    <x v="0"/>
  </r>
  <r>
    <d v="2021-12-19T00:00:00"/>
    <s v="P0023"/>
    <n v="12"/>
    <x v="2"/>
    <x v="0"/>
    <n v="0"/>
    <x v="12"/>
    <x v="0"/>
    <x v="0"/>
    <n v="141"/>
    <n v="141"/>
    <n v="1692"/>
    <n v="1692"/>
    <x v="8"/>
    <x v="11"/>
    <x v="0"/>
  </r>
  <r>
    <d v="2021-12-19T00:00:00"/>
    <s v="P0029"/>
    <n v="3"/>
    <x v="0"/>
    <x v="0"/>
    <n v="0"/>
    <x v="19"/>
    <x v="4"/>
    <x v="2"/>
    <n v="47"/>
    <n v="47"/>
    <n v="141"/>
    <n v="141"/>
    <x v="8"/>
    <x v="11"/>
    <x v="0"/>
  </r>
  <r>
    <d v="2021-12-19T00:00:00"/>
    <s v="P0011"/>
    <n v="10"/>
    <x v="1"/>
    <x v="0"/>
    <n v="0"/>
    <x v="31"/>
    <x v="2"/>
    <x v="2"/>
    <n v="44"/>
    <n v="44"/>
    <n v="440"/>
    <n v="440"/>
    <x v="8"/>
    <x v="11"/>
    <x v="0"/>
  </r>
  <r>
    <d v="2021-12-20T00:00:00"/>
    <s v="P0012"/>
    <n v="14"/>
    <x v="2"/>
    <x v="0"/>
    <n v="0"/>
    <x v="35"/>
    <x v="2"/>
    <x v="1"/>
    <n v="73"/>
    <n v="73"/>
    <n v="1022"/>
    <n v="1022"/>
    <x v="9"/>
    <x v="11"/>
    <x v="0"/>
  </r>
  <r>
    <d v="2021-12-21T00:00:00"/>
    <s v="P0026"/>
    <n v="10"/>
    <x v="1"/>
    <x v="1"/>
    <n v="0"/>
    <x v="42"/>
    <x v="4"/>
    <x v="3"/>
    <n v="18"/>
    <n v="18"/>
    <n v="180"/>
    <n v="180"/>
    <x v="10"/>
    <x v="11"/>
    <x v="0"/>
  </r>
  <r>
    <d v="2021-12-24T00:00:00"/>
    <s v="P0042"/>
    <n v="8"/>
    <x v="0"/>
    <x v="1"/>
    <n v="0"/>
    <x v="10"/>
    <x v="1"/>
    <x v="0"/>
    <n v="120"/>
    <n v="120"/>
    <n v="960"/>
    <n v="960"/>
    <x v="27"/>
    <x v="11"/>
    <x v="0"/>
  </r>
  <r>
    <d v="2021-12-24T00:00:00"/>
    <s v="P0036"/>
    <n v="8"/>
    <x v="0"/>
    <x v="0"/>
    <n v="0"/>
    <x v="43"/>
    <x v="4"/>
    <x v="1"/>
    <n v="90"/>
    <n v="90"/>
    <n v="720"/>
    <n v="720"/>
    <x v="27"/>
    <x v="11"/>
    <x v="0"/>
  </r>
  <r>
    <d v="2021-12-26T00:00:00"/>
    <s v="P0041"/>
    <n v="14"/>
    <x v="1"/>
    <x v="1"/>
    <n v="0"/>
    <x v="41"/>
    <x v="1"/>
    <x v="0"/>
    <n v="138"/>
    <n v="138"/>
    <n v="1932"/>
    <n v="1932"/>
    <x v="12"/>
    <x v="11"/>
    <x v="0"/>
  </r>
  <r>
    <d v="2021-12-27T00:00:00"/>
    <s v="P0029"/>
    <n v="14"/>
    <x v="2"/>
    <x v="1"/>
    <n v="0"/>
    <x v="19"/>
    <x v="4"/>
    <x v="2"/>
    <n v="47"/>
    <n v="47"/>
    <n v="658"/>
    <n v="658"/>
    <x v="13"/>
    <x v="11"/>
    <x v="0"/>
  </r>
  <r>
    <d v="2021-12-28T00:00:00"/>
    <s v="P0029"/>
    <n v="6"/>
    <x v="2"/>
    <x v="1"/>
    <n v="0"/>
    <x v="19"/>
    <x v="4"/>
    <x v="2"/>
    <n v="47"/>
    <n v="47"/>
    <n v="282"/>
    <n v="282"/>
    <x v="14"/>
    <x v="11"/>
    <x v="0"/>
  </r>
  <r>
    <d v="2021-12-30T00:00:00"/>
    <s v="P0010"/>
    <n v="13"/>
    <x v="1"/>
    <x v="0"/>
    <n v="0"/>
    <x v="20"/>
    <x v="2"/>
    <x v="0"/>
    <n v="148"/>
    <n v="148"/>
    <n v="1924"/>
    <n v="1924"/>
    <x v="24"/>
    <x v="11"/>
    <x v="0"/>
  </r>
  <r>
    <d v="2022-01-01T00:00:00"/>
    <s v="P0022"/>
    <n v="1"/>
    <x v="0"/>
    <x v="1"/>
    <n v="0"/>
    <x v="22"/>
    <x v="0"/>
    <x v="0"/>
    <n v="121"/>
    <n v="121"/>
    <n v="121"/>
    <n v="121"/>
    <x v="0"/>
    <x v="0"/>
    <x v="1"/>
  </r>
  <r>
    <d v="2022-01-02T00:00:00"/>
    <s v="P0010"/>
    <n v="7"/>
    <x v="2"/>
    <x v="1"/>
    <n v="0"/>
    <x v="20"/>
    <x v="2"/>
    <x v="0"/>
    <n v="148"/>
    <n v="148"/>
    <n v="1036"/>
    <n v="1036"/>
    <x v="1"/>
    <x v="0"/>
    <x v="1"/>
  </r>
  <r>
    <d v="2022-01-02T00:00:00"/>
    <s v="P0015"/>
    <n v="2"/>
    <x v="1"/>
    <x v="1"/>
    <n v="0"/>
    <x v="27"/>
    <x v="2"/>
    <x v="3"/>
    <n v="12"/>
    <n v="12"/>
    <n v="24"/>
    <n v="24"/>
    <x v="1"/>
    <x v="0"/>
    <x v="1"/>
  </r>
  <r>
    <d v="2022-01-02T00:00:00"/>
    <s v="P0033"/>
    <n v="1"/>
    <x v="2"/>
    <x v="1"/>
    <n v="0"/>
    <x v="38"/>
    <x v="4"/>
    <x v="1"/>
    <n v="95"/>
    <n v="95"/>
    <n v="95"/>
    <n v="95"/>
    <x v="1"/>
    <x v="0"/>
    <x v="1"/>
  </r>
  <r>
    <d v="2022-01-03T00:00:00"/>
    <s v="P0043"/>
    <n v="9"/>
    <x v="2"/>
    <x v="1"/>
    <n v="0"/>
    <x v="23"/>
    <x v="1"/>
    <x v="1"/>
    <n v="67"/>
    <n v="67"/>
    <n v="603"/>
    <n v="603"/>
    <x v="2"/>
    <x v="0"/>
    <x v="1"/>
  </r>
  <r>
    <d v="2022-01-04T00:00:00"/>
    <s v="P0012"/>
    <n v="8"/>
    <x v="2"/>
    <x v="0"/>
    <n v="0"/>
    <x v="35"/>
    <x v="2"/>
    <x v="1"/>
    <n v="73"/>
    <n v="73"/>
    <n v="584"/>
    <n v="584"/>
    <x v="3"/>
    <x v="0"/>
    <x v="1"/>
  </r>
  <r>
    <d v="2022-01-04T00:00:00"/>
    <s v="P0029"/>
    <n v="1"/>
    <x v="1"/>
    <x v="0"/>
    <n v="0"/>
    <x v="19"/>
    <x v="4"/>
    <x v="2"/>
    <n v="47"/>
    <n v="47"/>
    <n v="47"/>
    <n v="47"/>
    <x v="3"/>
    <x v="0"/>
    <x v="1"/>
  </r>
  <r>
    <d v="2022-01-09T00:00:00"/>
    <s v="P0032"/>
    <n v="12"/>
    <x v="2"/>
    <x v="0"/>
    <n v="0"/>
    <x v="18"/>
    <x v="4"/>
    <x v="1"/>
    <n v="89"/>
    <n v="89"/>
    <n v="1068"/>
    <n v="1068"/>
    <x v="4"/>
    <x v="0"/>
    <x v="1"/>
  </r>
  <r>
    <d v="2022-01-10T00:00:00"/>
    <s v="P0034"/>
    <n v="14"/>
    <x v="1"/>
    <x v="0"/>
    <n v="0"/>
    <x v="13"/>
    <x v="4"/>
    <x v="2"/>
    <n v="55"/>
    <n v="55"/>
    <n v="770"/>
    <n v="770"/>
    <x v="26"/>
    <x v="0"/>
    <x v="1"/>
  </r>
  <r>
    <d v="2022-01-11T00:00:00"/>
    <s v="P0032"/>
    <n v="2"/>
    <x v="2"/>
    <x v="0"/>
    <n v="0"/>
    <x v="18"/>
    <x v="4"/>
    <x v="1"/>
    <n v="89"/>
    <n v="89"/>
    <n v="178"/>
    <n v="178"/>
    <x v="5"/>
    <x v="0"/>
    <x v="1"/>
  </r>
  <r>
    <d v="2022-01-13T00:00:00"/>
    <s v="P0019"/>
    <n v="6"/>
    <x v="1"/>
    <x v="0"/>
    <n v="0"/>
    <x v="40"/>
    <x v="2"/>
    <x v="0"/>
    <n v="150"/>
    <n v="150"/>
    <n v="900"/>
    <n v="900"/>
    <x v="22"/>
    <x v="0"/>
    <x v="1"/>
  </r>
  <r>
    <d v="2022-01-14T00:00:00"/>
    <s v="P0011"/>
    <n v="14"/>
    <x v="2"/>
    <x v="0"/>
    <n v="0"/>
    <x v="31"/>
    <x v="2"/>
    <x v="2"/>
    <n v="44"/>
    <n v="44"/>
    <n v="616"/>
    <n v="616"/>
    <x v="29"/>
    <x v="0"/>
    <x v="1"/>
  </r>
  <r>
    <d v="2022-01-15T00:00:00"/>
    <s v="P0022"/>
    <n v="10"/>
    <x v="2"/>
    <x v="1"/>
    <n v="0"/>
    <x v="22"/>
    <x v="0"/>
    <x v="0"/>
    <n v="121"/>
    <n v="121"/>
    <n v="1210"/>
    <n v="1210"/>
    <x v="17"/>
    <x v="0"/>
    <x v="1"/>
  </r>
  <r>
    <d v="2022-01-16T00:00:00"/>
    <s v="P0014"/>
    <n v="11"/>
    <x v="1"/>
    <x v="1"/>
    <n v="0"/>
    <x v="9"/>
    <x v="2"/>
    <x v="1"/>
    <n v="112"/>
    <n v="112"/>
    <n v="1232"/>
    <n v="1232"/>
    <x v="23"/>
    <x v="0"/>
    <x v="1"/>
  </r>
  <r>
    <d v="2022-01-17T00:00:00"/>
    <s v="P0040"/>
    <n v="4"/>
    <x v="1"/>
    <x v="0"/>
    <n v="0"/>
    <x v="17"/>
    <x v="1"/>
    <x v="1"/>
    <n v="90"/>
    <n v="90"/>
    <n v="360"/>
    <n v="360"/>
    <x v="30"/>
    <x v="0"/>
    <x v="1"/>
  </r>
  <r>
    <d v="2022-01-18T00:00:00"/>
    <s v="P0008"/>
    <n v="9"/>
    <x v="0"/>
    <x v="1"/>
    <n v="0"/>
    <x v="25"/>
    <x v="3"/>
    <x v="1"/>
    <n v="83"/>
    <n v="83"/>
    <n v="747"/>
    <n v="747"/>
    <x v="7"/>
    <x v="0"/>
    <x v="1"/>
  </r>
  <r>
    <d v="2022-01-20T00:00:00"/>
    <s v="P0021"/>
    <n v="2"/>
    <x v="2"/>
    <x v="1"/>
    <n v="0"/>
    <x v="32"/>
    <x v="0"/>
    <x v="0"/>
    <n v="126"/>
    <n v="126"/>
    <n v="252"/>
    <n v="252"/>
    <x v="9"/>
    <x v="0"/>
    <x v="1"/>
  </r>
  <r>
    <d v="2022-01-20T00:00:00"/>
    <s v="P0014"/>
    <n v="7"/>
    <x v="1"/>
    <x v="0"/>
    <n v="0"/>
    <x v="9"/>
    <x v="2"/>
    <x v="1"/>
    <n v="112"/>
    <n v="112"/>
    <n v="784"/>
    <n v="784"/>
    <x v="9"/>
    <x v="0"/>
    <x v="1"/>
  </r>
  <r>
    <d v="2022-01-22T00:00:00"/>
    <s v="P0001"/>
    <n v="6"/>
    <x v="1"/>
    <x v="1"/>
    <n v="0"/>
    <x v="16"/>
    <x v="3"/>
    <x v="1"/>
    <n v="98"/>
    <n v="98"/>
    <n v="588"/>
    <n v="588"/>
    <x v="18"/>
    <x v="0"/>
    <x v="1"/>
  </r>
  <r>
    <d v="2022-01-23T00:00:00"/>
    <s v="P0002"/>
    <n v="5"/>
    <x v="0"/>
    <x v="1"/>
    <n v="0"/>
    <x v="29"/>
    <x v="3"/>
    <x v="1"/>
    <n v="105"/>
    <n v="105"/>
    <n v="525"/>
    <n v="525"/>
    <x v="19"/>
    <x v="0"/>
    <x v="1"/>
  </r>
  <r>
    <d v="2022-01-23T00:00:00"/>
    <s v="P0042"/>
    <n v="8"/>
    <x v="2"/>
    <x v="0"/>
    <n v="0"/>
    <x v="10"/>
    <x v="1"/>
    <x v="0"/>
    <n v="120"/>
    <n v="120"/>
    <n v="960"/>
    <n v="960"/>
    <x v="19"/>
    <x v="0"/>
    <x v="1"/>
  </r>
  <r>
    <d v="2022-01-24T00:00:00"/>
    <s v="P0030"/>
    <n v="15"/>
    <x v="1"/>
    <x v="0"/>
    <n v="0"/>
    <x v="28"/>
    <x v="4"/>
    <x v="0"/>
    <n v="148"/>
    <n v="148"/>
    <n v="2220"/>
    <n v="2220"/>
    <x v="27"/>
    <x v="0"/>
    <x v="1"/>
  </r>
  <r>
    <d v="2022-01-25T00:00:00"/>
    <s v="P0017"/>
    <n v="14"/>
    <x v="2"/>
    <x v="1"/>
    <n v="0"/>
    <x v="39"/>
    <x v="2"/>
    <x v="0"/>
    <n v="134"/>
    <n v="134"/>
    <n v="1876"/>
    <n v="1876"/>
    <x v="11"/>
    <x v="0"/>
    <x v="1"/>
  </r>
  <r>
    <d v="2022-01-28T00:00:00"/>
    <s v="P0016"/>
    <n v="11"/>
    <x v="2"/>
    <x v="0"/>
    <n v="0"/>
    <x v="21"/>
    <x v="2"/>
    <x v="3"/>
    <n v="13"/>
    <n v="13"/>
    <n v="143"/>
    <n v="143"/>
    <x v="14"/>
    <x v="0"/>
    <x v="1"/>
  </r>
  <r>
    <d v="2022-01-31T00:00:00"/>
    <s v="P0023"/>
    <n v="6"/>
    <x v="1"/>
    <x v="1"/>
    <n v="0"/>
    <x v="12"/>
    <x v="0"/>
    <x v="0"/>
    <n v="141"/>
    <n v="141"/>
    <n v="846"/>
    <n v="846"/>
    <x v="25"/>
    <x v="0"/>
    <x v="1"/>
  </r>
  <r>
    <d v="2022-01-31T00:00:00"/>
    <s v="P0041"/>
    <n v="9"/>
    <x v="2"/>
    <x v="1"/>
    <n v="0"/>
    <x v="41"/>
    <x v="1"/>
    <x v="0"/>
    <n v="138"/>
    <n v="138"/>
    <n v="1242"/>
    <n v="1242"/>
    <x v="25"/>
    <x v="0"/>
    <x v="1"/>
  </r>
  <r>
    <d v="2022-02-01T00:00:00"/>
    <s v="P0005"/>
    <n v="9"/>
    <x v="2"/>
    <x v="1"/>
    <n v="0"/>
    <x v="24"/>
    <x v="3"/>
    <x v="0"/>
    <n v="133"/>
    <n v="133"/>
    <n v="1197"/>
    <n v="1197"/>
    <x v="0"/>
    <x v="1"/>
    <x v="1"/>
  </r>
  <r>
    <d v="2022-02-03T00:00:00"/>
    <s v="P0014"/>
    <n v="8"/>
    <x v="2"/>
    <x v="0"/>
    <n v="0"/>
    <x v="9"/>
    <x v="2"/>
    <x v="1"/>
    <n v="112"/>
    <n v="112"/>
    <n v="896"/>
    <n v="896"/>
    <x v="2"/>
    <x v="1"/>
    <x v="1"/>
  </r>
  <r>
    <d v="2022-02-05T00:00:00"/>
    <s v="P0018"/>
    <n v="6"/>
    <x v="2"/>
    <x v="1"/>
    <n v="0"/>
    <x v="30"/>
    <x v="2"/>
    <x v="3"/>
    <n v="37"/>
    <n v="37"/>
    <n v="222"/>
    <n v="222"/>
    <x v="15"/>
    <x v="1"/>
    <x v="1"/>
  </r>
  <r>
    <d v="2022-02-06T00:00:00"/>
    <s v="P0002"/>
    <n v="6"/>
    <x v="2"/>
    <x v="1"/>
    <n v="0"/>
    <x v="29"/>
    <x v="3"/>
    <x v="1"/>
    <n v="105"/>
    <n v="105"/>
    <n v="630"/>
    <n v="630"/>
    <x v="16"/>
    <x v="1"/>
    <x v="1"/>
  </r>
  <r>
    <d v="2022-02-08T00:00:00"/>
    <s v="P0005"/>
    <n v="11"/>
    <x v="1"/>
    <x v="1"/>
    <n v="0"/>
    <x v="24"/>
    <x v="3"/>
    <x v="0"/>
    <n v="133"/>
    <n v="133"/>
    <n v="1463"/>
    <n v="1463"/>
    <x v="21"/>
    <x v="1"/>
    <x v="1"/>
  </r>
  <r>
    <d v="2022-02-08T00:00:00"/>
    <s v="P0004"/>
    <n v="3"/>
    <x v="1"/>
    <x v="1"/>
    <n v="0"/>
    <x v="3"/>
    <x v="3"/>
    <x v="2"/>
    <n v="44"/>
    <n v="44"/>
    <n v="132"/>
    <n v="132"/>
    <x v="21"/>
    <x v="1"/>
    <x v="1"/>
  </r>
  <r>
    <d v="2022-02-09T00:00:00"/>
    <s v="P0032"/>
    <n v="14"/>
    <x v="1"/>
    <x v="0"/>
    <n v="0"/>
    <x v="18"/>
    <x v="4"/>
    <x v="1"/>
    <n v="89"/>
    <n v="89"/>
    <n v="1246"/>
    <n v="1246"/>
    <x v="4"/>
    <x v="1"/>
    <x v="1"/>
  </r>
  <r>
    <d v="2022-02-12T00:00:00"/>
    <s v="P0010"/>
    <n v="13"/>
    <x v="2"/>
    <x v="1"/>
    <n v="0"/>
    <x v="20"/>
    <x v="2"/>
    <x v="0"/>
    <n v="148"/>
    <n v="148"/>
    <n v="1924"/>
    <n v="1924"/>
    <x v="6"/>
    <x v="1"/>
    <x v="1"/>
  </r>
  <r>
    <d v="2022-02-14T00:00:00"/>
    <s v="P0026"/>
    <n v="8"/>
    <x v="1"/>
    <x v="1"/>
    <n v="0"/>
    <x v="42"/>
    <x v="4"/>
    <x v="3"/>
    <n v="18"/>
    <n v="18"/>
    <n v="144"/>
    <n v="144"/>
    <x v="29"/>
    <x v="1"/>
    <x v="1"/>
  </r>
  <r>
    <d v="2022-02-14T00:00:00"/>
    <s v="P0028"/>
    <n v="3"/>
    <x v="2"/>
    <x v="1"/>
    <n v="0"/>
    <x v="33"/>
    <x v="4"/>
    <x v="3"/>
    <n v="37"/>
    <n v="37"/>
    <n v="111"/>
    <n v="111"/>
    <x v="29"/>
    <x v="1"/>
    <x v="1"/>
  </r>
  <r>
    <d v="2022-02-16T00:00:00"/>
    <s v="P0032"/>
    <n v="1"/>
    <x v="1"/>
    <x v="1"/>
    <n v="0"/>
    <x v="18"/>
    <x v="4"/>
    <x v="1"/>
    <n v="89"/>
    <n v="89"/>
    <n v="89"/>
    <n v="89"/>
    <x v="23"/>
    <x v="1"/>
    <x v="1"/>
  </r>
  <r>
    <d v="2022-02-19T00:00:00"/>
    <s v="P0002"/>
    <n v="13"/>
    <x v="1"/>
    <x v="1"/>
    <n v="0"/>
    <x v="29"/>
    <x v="3"/>
    <x v="1"/>
    <n v="105"/>
    <n v="105"/>
    <n v="1365"/>
    <n v="1365"/>
    <x v="8"/>
    <x v="1"/>
    <x v="1"/>
  </r>
  <r>
    <d v="2022-02-20T00:00:00"/>
    <s v="P0012"/>
    <n v="6"/>
    <x v="2"/>
    <x v="1"/>
    <n v="0"/>
    <x v="35"/>
    <x v="2"/>
    <x v="1"/>
    <n v="73"/>
    <n v="73"/>
    <n v="438"/>
    <n v="438"/>
    <x v="9"/>
    <x v="1"/>
    <x v="1"/>
  </r>
  <r>
    <d v="2022-02-23T00:00:00"/>
    <s v="P0013"/>
    <n v="6"/>
    <x v="1"/>
    <x v="0"/>
    <n v="0"/>
    <x v="2"/>
    <x v="2"/>
    <x v="1"/>
    <n v="112"/>
    <n v="112"/>
    <n v="672"/>
    <n v="672"/>
    <x v="19"/>
    <x v="1"/>
    <x v="1"/>
  </r>
  <r>
    <d v="2022-02-23T00:00:00"/>
    <s v="P0016"/>
    <n v="15"/>
    <x v="1"/>
    <x v="1"/>
    <n v="0"/>
    <x v="21"/>
    <x v="2"/>
    <x v="3"/>
    <n v="13"/>
    <n v="13"/>
    <n v="195"/>
    <n v="195"/>
    <x v="19"/>
    <x v="1"/>
    <x v="1"/>
  </r>
  <r>
    <d v="2022-02-23T00:00:00"/>
    <s v="P0036"/>
    <n v="8"/>
    <x v="2"/>
    <x v="0"/>
    <n v="0"/>
    <x v="43"/>
    <x v="4"/>
    <x v="1"/>
    <n v="90"/>
    <n v="90"/>
    <n v="720"/>
    <n v="720"/>
    <x v="19"/>
    <x v="1"/>
    <x v="1"/>
  </r>
  <r>
    <d v="2022-02-27T00:00:00"/>
    <s v="P0012"/>
    <n v="7"/>
    <x v="2"/>
    <x v="1"/>
    <n v="0"/>
    <x v="35"/>
    <x v="2"/>
    <x v="1"/>
    <n v="73"/>
    <n v="73"/>
    <n v="511"/>
    <n v="511"/>
    <x v="13"/>
    <x v="1"/>
    <x v="1"/>
  </r>
  <r>
    <d v="2022-02-27T00:00:00"/>
    <s v="P0005"/>
    <n v="15"/>
    <x v="2"/>
    <x v="0"/>
    <n v="0"/>
    <x v="24"/>
    <x v="3"/>
    <x v="0"/>
    <n v="133"/>
    <n v="133"/>
    <n v="1995"/>
    <n v="1995"/>
    <x v="13"/>
    <x v="1"/>
    <x v="1"/>
  </r>
  <r>
    <d v="2022-02-28T00:00:00"/>
    <s v="P0037"/>
    <n v="15"/>
    <x v="2"/>
    <x v="1"/>
    <n v="0"/>
    <x v="8"/>
    <x v="1"/>
    <x v="1"/>
    <n v="67"/>
    <n v="67"/>
    <n v="1005"/>
    <n v="1005"/>
    <x v="14"/>
    <x v="1"/>
    <x v="1"/>
  </r>
  <r>
    <d v="2022-03-04T00:00:00"/>
    <s v="P0026"/>
    <n v="13"/>
    <x v="0"/>
    <x v="0"/>
    <n v="0"/>
    <x v="42"/>
    <x v="4"/>
    <x v="3"/>
    <n v="18"/>
    <n v="18"/>
    <n v="234"/>
    <n v="234"/>
    <x v="3"/>
    <x v="2"/>
    <x v="1"/>
  </r>
  <r>
    <d v="2022-03-06T00:00:00"/>
    <s v="P0004"/>
    <n v="2"/>
    <x v="2"/>
    <x v="1"/>
    <n v="0"/>
    <x v="3"/>
    <x v="3"/>
    <x v="2"/>
    <n v="44"/>
    <n v="44"/>
    <n v="88"/>
    <n v="88"/>
    <x v="16"/>
    <x v="2"/>
    <x v="1"/>
  </r>
  <r>
    <d v="2022-03-07T00:00:00"/>
    <s v="P0003"/>
    <n v="1"/>
    <x v="2"/>
    <x v="1"/>
    <n v="0"/>
    <x v="6"/>
    <x v="3"/>
    <x v="1"/>
    <n v="71"/>
    <n v="71"/>
    <n v="71"/>
    <n v="71"/>
    <x v="20"/>
    <x v="2"/>
    <x v="1"/>
  </r>
  <r>
    <d v="2022-03-08T00:00:00"/>
    <s v="P0044"/>
    <n v="6"/>
    <x v="2"/>
    <x v="0"/>
    <n v="0"/>
    <x v="11"/>
    <x v="1"/>
    <x v="1"/>
    <n v="76"/>
    <n v="76"/>
    <n v="456"/>
    <n v="456"/>
    <x v="21"/>
    <x v="2"/>
    <x v="1"/>
  </r>
  <r>
    <d v="2022-03-09T00:00:00"/>
    <s v="P0030"/>
    <n v="3"/>
    <x v="2"/>
    <x v="0"/>
    <n v="0"/>
    <x v="28"/>
    <x v="4"/>
    <x v="0"/>
    <n v="148"/>
    <n v="148"/>
    <n v="444"/>
    <n v="444"/>
    <x v="4"/>
    <x v="2"/>
    <x v="1"/>
  </r>
  <r>
    <d v="2022-03-09T00:00:00"/>
    <s v="P0004"/>
    <n v="11"/>
    <x v="1"/>
    <x v="1"/>
    <n v="0"/>
    <x v="3"/>
    <x v="3"/>
    <x v="2"/>
    <n v="44"/>
    <n v="44"/>
    <n v="484"/>
    <n v="484"/>
    <x v="4"/>
    <x v="2"/>
    <x v="1"/>
  </r>
  <r>
    <d v="2022-03-10T00:00:00"/>
    <s v="P0033"/>
    <n v="12"/>
    <x v="0"/>
    <x v="0"/>
    <n v="0"/>
    <x v="38"/>
    <x v="4"/>
    <x v="1"/>
    <n v="95"/>
    <n v="95"/>
    <n v="1140"/>
    <n v="1140"/>
    <x v="26"/>
    <x v="2"/>
    <x v="1"/>
  </r>
  <r>
    <d v="2022-03-14T00:00:00"/>
    <s v="P0016"/>
    <n v="2"/>
    <x v="2"/>
    <x v="1"/>
    <n v="0"/>
    <x v="21"/>
    <x v="2"/>
    <x v="3"/>
    <n v="13"/>
    <n v="13"/>
    <n v="26"/>
    <n v="26"/>
    <x v="29"/>
    <x v="2"/>
    <x v="1"/>
  </r>
  <r>
    <d v="2022-03-14T00:00:00"/>
    <s v="P0026"/>
    <n v="13"/>
    <x v="2"/>
    <x v="0"/>
    <n v="0"/>
    <x v="42"/>
    <x v="4"/>
    <x v="3"/>
    <n v="18"/>
    <n v="18"/>
    <n v="234"/>
    <n v="234"/>
    <x v="29"/>
    <x v="2"/>
    <x v="1"/>
  </r>
  <r>
    <d v="2022-03-18T00:00:00"/>
    <s v="P0019"/>
    <n v="2"/>
    <x v="1"/>
    <x v="1"/>
    <n v="0"/>
    <x v="40"/>
    <x v="2"/>
    <x v="0"/>
    <n v="150"/>
    <n v="150"/>
    <n v="300"/>
    <n v="300"/>
    <x v="7"/>
    <x v="2"/>
    <x v="1"/>
  </r>
  <r>
    <d v="2022-03-18T00:00:00"/>
    <s v="P0027"/>
    <n v="10"/>
    <x v="2"/>
    <x v="1"/>
    <n v="0"/>
    <x v="26"/>
    <x v="4"/>
    <x v="2"/>
    <n v="48"/>
    <n v="48"/>
    <n v="480"/>
    <n v="480"/>
    <x v="7"/>
    <x v="2"/>
    <x v="1"/>
  </r>
  <r>
    <d v="2022-03-19T00:00:00"/>
    <s v="P0041"/>
    <n v="6"/>
    <x v="0"/>
    <x v="1"/>
    <n v="0"/>
    <x v="41"/>
    <x v="1"/>
    <x v="0"/>
    <n v="138"/>
    <n v="138"/>
    <n v="828"/>
    <n v="828"/>
    <x v="8"/>
    <x v="2"/>
    <x v="1"/>
  </r>
  <r>
    <d v="2022-03-23T00:00:00"/>
    <s v="P0032"/>
    <n v="9"/>
    <x v="2"/>
    <x v="1"/>
    <n v="0"/>
    <x v="18"/>
    <x v="4"/>
    <x v="1"/>
    <n v="89"/>
    <n v="89"/>
    <n v="801"/>
    <n v="801"/>
    <x v="19"/>
    <x v="2"/>
    <x v="1"/>
  </r>
  <r>
    <d v="2022-03-25T00:00:00"/>
    <s v="P0001"/>
    <n v="2"/>
    <x v="0"/>
    <x v="0"/>
    <n v="0"/>
    <x v="16"/>
    <x v="3"/>
    <x v="1"/>
    <n v="98"/>
    <n v="98"/>
    <n v="196"/>
    <n v="196"/>
    <x v="11"/>
    <x v="2"/>
    <x v="1"/>
  </r>
  <r>
    <d v="2022-03-25T00:00:00"/>
    <s v="P0030"/>
    <n v="11"/>
    <x v="2"/>
    <x v="0"/>
    <n v="0"/>
    <x v="28"/>
    <x v="4"/>
    <x v="0"/>
    <n v="148"/>
    <n v="148"/>
    <n v="1628"/>
    <n v="1628"/>
    <x v="11"/>
    <x v="2"/>
    <x v="1"/>
  </r>
  <r>
    <d v="2022-03-29T00:00:00"/>
    <s v="P0032"/>
    <n v="12"/>
    <x v="1"/>
    <x v="0"/>
    <n v="0"/>
    <x v="18"/>
    <x v="4"/>
    <x v="1"/>
    <n v="89"/>
    <n v="89"/>
    <n v="1068"/>
    <n v="1068"/>
    <x v="28"/>
    <x v="2"/>
    <x v="1"/>
  </r>
  <r>
    <d v="2022-03-30T00:00:00"/>
    <s v="P0001"/>
    <n v="13"/>
    <x v="1"/>
    <x v="1"/>
    <n v="0"/>
    <x v="16"/>
    <x v="3"/>
    <x v="1"/>
    <n v="98"/>
    <n v="98"/>
    <n v="1274"/>
    <n v="1274"/>
    <x v="24"/>
    <x v="2"/>
    <x v="1"/>
  </r>
  <r>
    <d v="2022-04-01T00:00:00"/>
    <s v="P0002"/>
    <n v="2"/>
    <x v="1"/>
    <x v="1"/>
    <n v="0"/>
    <x v="29"/>
    <x v="3"/>
    <x v="1"/>
    <n v="105"/>
    <n v="105"/>
    <n v="210"/>
    <n v="210"/>
    <x v="0"/>
    <x v="3"/>
    <x v="1"/>
  </r>
  <r>
    <d v="2022-04-02T00:00:00"/>
    <s v="P0002"/>
    <n v="3"/>
    <x v="2"/>
    <x v="1"/>
    <n v="0"/>
    <x v="29"/>
    <x v="3"/>
    <x v="1"/>
    <n v="105"/>
    <n v="105"/>
    <n v="315"/>
    <n v="315"/>
    <x v="1"/>
    <x v="3"/>
    <x v="1"/>
  </r>
  <r>
    <d v="2022-04-06T00:00:00"/>
    <s v="P0040"/>
    <n v="2"/>
    <x v="0"/>
    <x v="1"/>
    <n v="0"/>
    <x v="17"/>
    <x v="1"/>
    <x v="1"/>
    <n v="90"/>
    <n v="90"/>
    <n v="180"/>
    <n v="180"/>
    <x v="16"/>
    <x v="3"/>
    <x v="1"/>
  </r>
  <r>
    <d v="2022-04-07T00:00:00"/>
    <s v="P0026"/>
    <n v="7"/>
    <x v="2"/>
    <x v="0"/>
    <n v="0"/>
    <x v="42"/>
    <x v="4"/>
    <x v="3"/>
    <n v="18"/>
    <n v="18"/>
    <n v="126"/>
    <n v="126"/>
    <x v="20"/>
    <x v="3"/>
    <x v="1"/>
  </r>
  <r>
    <d v="2022-04-09T00:00:00"/>
    <s v="P0039"/>
    <n v="12"/>
    <x v="0"/>
    <x v="1"/>
    <n v="0"/>
    <x v="34"/>
    <x v="1"/>
    <x v="3"/>
    <n v="37"/>
    <n v="37"/>
    <n v="444"/>
    <n v="444"/>
    <x v="4"/>
    <x v="3"/>
    <x v="1"/>
  </r>
  <r>
    <d v="2022-04-09T00:00:00"/>
    <s v="P0002"/>
    <n v="9"/>
    <x v="1"/>
    <x v="0"/>
    <n v="0"/>
    <x v="29"/>
    <x v="3"/>
    <x v="1"/>
    <n v="105"/>
    <n v="105"/>
    <n v="945"/>
    <n v="945"/>
    <x v="4"/>
    <x v="3"/>
    <x v="1"/>
  </r>
  <r>
    <d v="2022-04-13T00:00:00"/>
    <s v="P0016"/>
    <n v="14"/>
    <x v="0"/>
    <x v="0"/>
    <n v="0"/>
    <x v="21"/>
    <x v="2"/>
    <x v="3"/>
    <n v="13"/>
    <n v="13"/>
    <n v="182"/>
    <n v="182"/>
    <x v="22"/>
    <x v="3"/>
    <x v="1"/>
  </r>
  <r>
    <d v="2022-04-18T00:00:00"/>
    <s v="P0041"/>
    <n v="9"/>
    <x v="2"/>
    <x v="1"/>
    <n v="0"/>
    <x v="41"/>
    <x v="1"/>
    <x v="0"/>
    <n v="138"/>
    <n v="138"/>
    <n v="1242"/>
    <n v="1242"/>
    <x v="7"/>
    <x v="3"/>
    <x v="1"/>
  </r>
  <r>
    <d v="2022-04-20T00:00:00"/>
    <s v="P0018"/>
    <n v="2"/>
    <x v="0"/>
    <x v="0"/>
    <n v="0"/>
    <x v="30"/>
    <x v="2"/>
    <x v="3"/>
    <n v="37"/>
    <n v="37"/>
    <n v="74"/>
    <n v="74"/>
    <x v="9"/>
    <x v="3"/>
    <x v="1"/>
  </r>
  <r>
    <d v="2022-04-20T00:00:00"/>
    <s v="P0012"/>
    <n v="4"/>
    <x v="2"/>
    <x v="0"/>
    <n v="0"/>
    <x v="35"/>
    <x v="2"/>
    <x v="1"/>
    <n v="73"/>
    <n v="73"/>
    <n v="292"/>
    <n v="292"/>
    <x v="9"/>
    <x v="3"/>
    <x v="1"/>
  </r>
  <r>
    <d v="2022-04-21T00:00:00"/>
    <s v="P0030"/>
    <n v="2"/>
    <x v="2"/>
    <x v="1"/>
    <n v="0"/>
    <x v="28"/>
    <x v="4"/>
    <x v="0"/>
    <n v="148"/>
    <n v="148"/>
    <n v="296"/>
    <n v="296"/>
    <x v="10"/>
    <x v="3"/>
    <x v="1"/>
  </r>
  <r>
    <d v="2022-04-21T00:00:00"/>
    <s v="P0026"/>
    <n v="14"/>
    <x v="1"/>
    <x v="0"/>
    <n v="0"/>
    <x v="42"/>
    <x v="4"/>
    <x v="3"/>
    <n v="18"/>
    <n v="18"/>
    <n v="252"/>
    <n v="252"/>
    <x v="10"/>
    <x v="3"/>
    <x v="1"/>
  </r>
  <r>
    <d v="2022-04-23T00:00:00"/>
    <s v="P0044"/>
    <n v="15"/>
    <x v="1"/>
    <x v="0"/>
    <n v="0"/>
    <x v="11"/>
    <x v="1"/>
    <x v="1"/>
    <n v="76"/>
    <n v="76"/>
    <n v="1140"/>
    <n v="1140"/>
    <x v="19"/>
    <x v="3"/>
    <x v="1"/>
  </r>
  <r>
    <d v="2022-04-24T00:00:00"/>
    <s v="P0034"/>
    <n v="4"/>
    <x v="2"/>
    <x v="0"/>
    <n v="0"/>
    <x v="13"/>
    <x v="4"/>
    <x v="2"/>
    <n v="55"/>
    <n v="55"/>
    <n v="220"/>
    <n v="220"/>
    <x v="27"/>
    <x v="3"/>
    <x v="1"/>
  </r>
  <r>
    <d v="2022-04-25T00:00:00"/>
    <s v="P0004"/>
    <n v="9"/>
    <x v="2"/>
    <x v="1"/>
    <n v="0"/>
    <x v="3"/>
    <x v="3"/>
    <x v="2"/>
    <n v="44"/>
    <n v="44"/>
    <n v="396"/>
    <n v="396"/>
    <x v="11"/>
    <x v="3"/>
    <x v="1"/>
  </r>
  <r>
    <d v="2022-04-25T00:00:00"/>
    <s v="P0003"/>
    <n v="8"/>
    <x v="1"/>
    <x v="0"/>
    <n v="0"/>
    <x v="6"/>
    <x v="3"/>
    <x v="1"/>
    <n v="71"/>
    <n v="71"/>
    <n v="568"/>
    <n v="568"/>
    <x v="11"/>
    <x v="3"/>
    <x v="1"/>
  </r>
  <r>
    <d v="2022-04-26T00:00:00"/>
    <s v="P0027"/>
    <n v="2"/>
    <x v="2"/>
    <x v="1"/>
    <n v="0"/>
    <x v="26"/>
    <x v="4"/>
    <x v="2"/>
    <n v="48"/>
    <n v="48"/>
    <n v="96"/>
    <n v="96"/>
    <x v="12"/>
    <x v="3"/>
    <x v="1"/>
  </r>
  <r>
    <d v="2022-04-28T00:00:00"/>
    <s v="P0014"/>
    <n v="14"/>
    <x v="2"/>
    <x v="1"/>
    <n v="0"/>
    <x v="9"/>
    <x v="2"/>
    <x v="1"/>
    <n v="112"/>
    <n v="112"/>
    <n v="1568"/>
    <n v="1568"/>
    <x v="14"/>
    <x v="3"/>
    <x v="1"/>
  </r>
  <r>
    <d v="2022-04-30T00:00:00"/>
    <s v="P0016"/>
    <n v="13"/>
    <x v="1"/>
    <x v="0"/>
    <n v="0"/>
    <x v="21"/>
    <x v="2"/>
    <x v="3"/>
    <n v="13"/>
    <n v="13"/>
    <n v="169"/>
    <n v="169"/>
    <x v="24"/>
    <x v="3"/>
    <x v="1"/>
  </r>
  <r>
    <d v="2022-04-30T00:00:00"/>
    <s v="P0027"/>
    <n v="8"/>
    <x v="2"/>
    <x v="0"/>
    <n v="0"/>
    <x v="26"/>
    <x v="4"/>
    <x v="2"/>
    <n v="48"/>
    <n v="48"/>
    <n v="384"/>
    <n v="384"/>
    <x v="24"/>
    <x v="3"/>
    <x v="1"/>
  </r>
  <r>
    <d v="2022-05-01T00:00:00"/>
    <s v="P0034"/>
    <n v="9"/>
    <x v="0"/>
    <x v="0"/>
    <n v="0"/>
    <x v="13"/>
    <x v="4"/>
    <x v="2"/>
    <n v="55"/>
    <n v="55"/>
    <n v="495"/>
    <n v="495"/>
    <x v="0"/>
    <x v="4"/>
    <x v="1"/>
  </r>
  <r>
    <d v="2022-05-01T00:00:00"/>
    <s v="P0033"/>
    <n v="6"/>
    <x v="1"/>
    <x v="0"/>
    <n v="0"/>
    <x v="38"/>
    <x v="4"/>
    <x v="1"/>
    <n v="95"/>
    <n v="95"/>
    <n v="570"/>
    <n v="570"/>
    <x v="0"/>
    <x v="4"/>
    <x v="1"/>
  </r>
  <r>
    <d v="2022-05-02T00:00:00"/>
    <s v="P0013"/>
    <n v="4"/>
    <x v="1"/>
    <x v="1"/>
    <n v="0"/>
    <x v="2"/>
    <x v="2"/>
    <x v="1"/>
    <n v="112"/>
    <n v="112"/>
    <n v="448"/>
    <n v="448"/>
    <x v="1"/>
    <x v="4"/>
    <x v="1"/>
  </r>
  <r>
    <d v="2022-05-04T00:00:00"/>
    <s v="P0020"/>
    <n v="10"/>
    <x v="2"/>
    <x v="0"/>
    <n v="0"/>
    <x v="14"/>
    <x v="0"/>
    <x v="2"/>
    <n v="61"/>
    <n v="61"/>
    <n v="610"/>
    <n v="610"/>
    <x v="3"/>
    <x v="4"/>
    <x v="1"/>
  </r>
  <r>
    <d v="2022-05-06T00:00:00"/>
    <s v="P0034"/>
    <n v="7"/>
    <x v="2"/>
    <x v="0"/>
    <n v="0"/>
    <x v="13"/>
    <x v="4"/>
    <x v="2"/>
    <n v="55"/>
    <n v="55"/>
    <n v="385"/>
    <n v="385"/>
    <x v="16"/>
    <x v="4"/>
    <x v="1"/>
  </r>
  <r>
    <d v="2022-05-07T00:00:00"/>
    <s v="P0015"/>
    <n v="4"/>
    <x v="1"/>
    <x v="1"/>
    <n v="0"/>
    <x v="27"/>
    <x v="2"/>
    <x v="3"/>
    <n v="12"/>
    <n v="12"/>
    <n v="48"/>
    <n v="48"/>
    <x v="20"/>
    <x v="4"/>
    <x v="1"/>
  </r>
  <r>
    <d v="2022-05-07T00:00:00"/>
    <s v="P0027"/>
    <n v="1"/>
    <x v="1"/>
    <x v="0"/>
    <n v="0"/>
    <x v="26"/>
    <x v="4"/>
    <x v="2"/>
    <n v="48"/>
    <n v="48"/>
    <n v="48"/>
    <n v="48"/>
    <x v="20"/>
    <x v="4"/>
    <x v="1"/>
  </r>
  <r>
    <d v="2022-05-08T00:00:00"/>
    <s v="P0022"/>
    <n v="7"/>
    <x v="1"/>
    <x v="0"/>
    <n v="0"/>
    <x v="22"/>
    <x v="0"/>
    <x v="0"/>
    <n v="121"/>
    <n v="121"/>
    <n v="847"/>
    <n v="847"/>
    <x v="21"/>
    <x v="4"/>
    <x v="1"/>
  </r>
  <r>
    <d v="2022-05-09T00:00:00"/>
    <s v="P0017"/>
    <n v="12"/>
    <x v="0"/>
    <x v="1"/>
    <n v="0"/>
    <x v="39"/>
    <x v="2"/>
    <x v="0"/>
    <n v="134"/>
    <n v="134"/>
    <n v="1608"/>
    <n v="1608"/>
    <x v="4"/>
    <x v="4"/>
    <x v="1"/>
  </r>
  <r>
    <d v="2022-05-10T00:00:00"/>
    <s v="P0009"/>
    <n v="6"/>
    <x v="2"/>
    <x v="0"/>
    <n v="0"/>
    <x v="37"/>
    <x v="3"/>
    <x v="3"/>
    <n v="6"/>
    <n v="6"/>
    <n v="36"/>
    <n v="36"/>
    <x v="26"/>
    <x v="4"/>
    <x v="1"/>
  </r>
  <r>
    <d v="2022-05-12T00:00:00"/>
    <s v="P0011"/>
    <n v="7"/>
    <x v="1"/>
    <x v="1"/>
    <n v="0"/>
    <x v="31"/>
    <x v="2"/>
    <x v="2"/>
    <n v="44"/>
    <n v="44"/>
    <n v="308"/>
    <n v="308"/>
    <x v="6"/>
    <x v="4"/>
    <x v="1"/>
  </r>
  <r>
    <d v="2022-05-13T00:00:00"/>
    <s v="P0012"/>
    <n v="5"/>
    <x v="2"/>
    <x v="0"/>
    <n v="0"/>
    <x v="35"/>
    <x v="2"/>
    <x v="1"/>
    <n v="73"/>
    <n v="73"/>
    <n v="365"/>
    <n v="365"/>
    <x v="22"/>
    <x v="4"/>
    <x v="1"/>
  </r>
  <r>
    <d v="2022-05-14T00:00:00"/>
    <s v="P0008"/>
    <n v="14"/>
    <x v="2"/>
    <x v="1"/>
    <n v="0"/>
    <x v="25"/>
    <x v="3"/>
    <x v="1"/>
    <n v="83"/>
    <n v="83"/>
    <n v="1162"/>
    <n v="1162"/>
    <x v="29"/>
    <x v="4"/>
    <x v="1"/>
  </r>
  <r>
    <d v="2022-05-15T00:00:00"/>
    <s v="P0020"/>
    <n v="5"/>
    <x v="1"/>
    <x v="0"/>
    <n v="0"/>
    <x v="14"/>
    <x v="0"/>
    <x v="2"/>
    <n v="61"/>
    <n v="61"/>
    <n v="305"/>
    <n v="305"/>
    <x v="17"/>
    <x v="4"/>
    <x v="1"/>
  </r>
  <r>
    <d v="2022-05-16T00:00:00"/>
    <s v="P0010"/>
    <n v="13"/>
    <x v="2"/>
    <x v="1"/>
    <n v="0"/>
    <x v="20"/>
    <x v="2"/>
    <x v="0"/>
    <n v="148"/>
    <n v="148"/>
    <n v="1924"/>
    <n v="1924"/>
    <x v="23"/>
    <x v="4"/>
    <x v="1"/>
  </r>
  <r>
    <d v="2022-05-16T00:00:00"/>
    <s v="P0031"/>
    <n v="13"/>
    <x v="1"/>
    <x v="0"/>
    <n v="0"/>
    <x v="5"/>
    <x v="4"/>
    <x v="1"/>
    <n v="93"/>
    <n v="93"/>
    <n v="1209"/>
    <n v="1209"/>
    <x v="23"/>
    <x v="4"/>
    <x v="1"/>
  </r>
  <r>
    <d v="2022-05-17T00:00:00"/>
    <s v="P0027"/>
    <n v="8"/>
    <x v="2"/>
    <x v="1"/>
    <n v="0"/>
    <x v="26"/>
    <x v="4"/>
    <x v="2"/>
    <n v="48"/>
    <n v="48"/>
    <n v="384"/>
    <n v="384"/>
    <x v="30"/>
    <x v="4"/>
    <x v="1"/>
  </r>
  <r>
    <d v="2022-05-18T00:00:00"/>
    <s v="P0027"/>
    <n v="4"/>
    <x v="0"/>
    <x v="0"/>
    <n v="0"/>
    <x v="26"/>
    <x v="4"/>
    <x v="2"/>
    <n v="48"/>
    <n v="48"/>
    <n v="192"/>
    <n v="192"/>
    <x v="7"/>
    <x v="4"/>
    <x v="1"/>
  </r>
  <r>
    <d v="2022-05-18T00:00:00"/>
    <s v="P0038"/>
    <n v="8"/>
    <x v="0"/>
    <x v="0"/>
    <n v="0"/>
    <x v="1"/>
    <x v="1"/>
    <x v="1"/>
    <n v="72"/>
    <n v="72"/>
    <n v="576"/>
    <n v="576"/>
    <x v="7"/>
    <x v="4"/>
    <x v="1"/>
  </r>
  <r>
    <d v="2022-05-20T00:00:00"/>
    <s v="P0044"/>
    <n v="15"/>
    <x v="1"/>
    <x v="1"/>
    <n v="0"/>
    <x v="11"/>
    <x v="1"/>
    <x v="1"/>
    <n v="76"/>
    <n v="76"/>
    <n v="1140"/>
    <n v="1140"/>
    <x v="9"/>
    <x v="4"/>
    <x v="1"/>
  </r>
  <r>
    <d v="2022-05-22T00:00:00"/>
    <s v="P0015"/>
    <n v="12"/>
    <x v="2"/>
    <x v="0"/>
    <n v="0"/>
    <x v="27"/>
    <x v="2"/>
    <x v="3"/>
    <n v="12"/>
    <n v="12"/>
    <n v="144"/>
    <n v="144"/>
    <x v="18"/>
    <x v="4"/>
    <x v="1"/>
  </r>
  <r>
    <d v="2022-05-25T00:00:00"/>
    <s v="P0002"/>
    <n v="7"/>
    <x v="1"/>
    <x v="0"/>
    <n v="0"/>
    <x v="29"/>
    <x v="3"/>
    <x v="1"/>
    <n v="105"/>
    <n v="105"/>
    <n v="735"/>
    <n v="735"/>
    <x v="11"/>
    <x v="4"/>
    <x v="1"/>
  </r>
  <r>
    <d v="2022-05-26T00:00:00"/>
    <s v="P0028"/>
    <n v="2"/>
    <x v="2"/>
    <x v="0"/>
    <n v="0"/>
    <x v="33"/>
    <x v="4"/>
    <x v="3"/>
    <n v="37"/>
    <n v="37"/>
    <n v="74"/>
    <n v="74"/>
    <x v="12"/>
    <x v="4"/>
    <x v="1"/>
  </r>
  <r>
    <d v="2022-05-26T00:00:00"/>
    <s v="P0027"/>
    <n v="2"/>
    <x v="1"/>
    <x v="0"/>
    <n v="0"/>
    <x v="26"/>
    <x v="4"/>
    <x v="2"/>
    <n v="48"/>
    <n v="48"/>
    <n v="96"/>
    <n v="96"/>
    <x v="12"/>
    <x v="4"/>
    <x v="1"/>
  </r>
  <r>
    <d v="2022-05-28T00:00:00"/>
    <s v="P0041"/>
    <n v="10"/>
    <x v="0"/>
    <x v="1"/>
    <n v="0"/>
    <x v="41"/>
    <x v="1"/>
    <x v="0"/>
    <n v="138"/>
    <n v="138"/>
    <n v="1380"/>
    <n v="1380"/>
    <x v="14"/>
    <x v="4"/>
    <x v="1"/>
  </r>
  <r>
    <d v="2022-05-28T00:00:00"/>
    <s v="P0008"/>
    <n v="5"/>
    <x v="0"/>
    <x v="0"/>
    <n v="0"/>
    <x v="25"/>
    <x v="3"/>
    <x v="1"/>
    <n v="83"/>
    <n v="83"/>
    <n v="415"/>
    <n v="415"/>
    <x v="14"/>
    <x v="4"/>
    <x v="1"/>
  </r>
  <r>
    <d v="2022-05-28T00:00:00"/>
    <s v="P0010"/>
    <n v="9"/>
    <x v="1"/>
    <x v="1"/>
    <n v="0"/>
    <x v="20"/>
    <x v="2"/>
    <x v="0"/>
    <n v="148"/>
    <n v="148"/>
    <n v="1332"/>
    <n v="1332"/>
    <x v="14"/>
    <x v="4"/>
    <x v="1"/>
  </r>
  <r>
    <d v="2022-05-28T00:00:00"/>
    <s v="P0004"/>
    <n v="12"/>
    <x v="1"/>
    <x v="0"/>
    <n v="0"/>
    <x v="3"/>
    <x v="3"/>
    <x v="2"/>
    <n v="44"/>
    <n v="44"/>
    <n v="528"/>
    <n v="528"/>
    <x v="14"/>
    <x v="4"/>
    <x v="1"/>
  </r>
  <r>
    <d v="2022-05-28T00:00:00"/>
    <s v="P0020"/>
    <n v="14"/>
    <x v="2"/>
    <x v="1"/>
    <n v="0"/>
    <x v="14"/>
    <x v="0"/>
    <x v="2"/>
    <n v="61"/>
    <n v="61"/>
    <n v="854"/>
    <n v="854"/>
    <x v="14"/>
    <x v="4"/>
    <x v="1"/>
  </r>
  <r>
    <d v="2022-05-30T00:00:00"/>
    <s v="P0044"/>
    <n v="9"/>
    <x v="2"/>
    <x v="0"/>
    <n v="0"/>
    <x v="11"/>
    <x v="1"/>
    <x v="1"/>
    <n v="76"/>
    <n v="76"/>
    <n v="684"/>
    <n v="684"/>
    <x v="24"/>
    <x v="4"/>
    <x v="1"/>
  </r>
  <r>
    <d v="2022-05-30T00:00:00"/>
    <s v="P0005"/>
    <n v="4"/>
    <x v="0"/>
    <x v="1"/>
    <n v="0"/>
    <x v="24"/>
    <x v="3"/>
    <x v="0"/>
    <n v="133"/>
    <n v="133"/>
    <n v="532"/>
    <n v="532"/>
    <x v="24"/>
    <x v="4"/>
    <x v="1"/>
  </r>
  <r>
    <d v="2022-05-30T00:00:00"/>
    <s v="P0033"/>
    <n v="3"/>
    <x v="1"/>
    <x v="1"/>
    <n v="0"/>
    <x v="38"/>
    <x v="4"/>
    <x v="1"/>
    <n v="95"/>
    <n v="95"/>
    <n v="285"/>
    <n v="285"/>
    <x v="24"/>
    <x v="4"/>
    <x v="1"/>
  </r>
  <r>
    <d v="2022-06-03T00:00:00"/>
    <s v="P0008"/>
    <n v="14"/>
    <x v="1"/>
    <x v="0"/>
    <n v="0"/>
    <x v="25"/>
    <x v="3"/>
    <x v="1"/>
    <n v="83"/>
    <n v="83"/>
    <n v="1162"/>
    <n v="1162"/>
    <x v="2"/>
    <x v="5"/>
    <x v="1"/>
  </r>
  <r>
    <d v="2022-06-10T00:00:00"/>
    <s v="P0028"/>
    <n v="8"/>
    <x v="0"/>
    <x v="0"/>
    <n v="0"/>
    <x v="33"/>
    <x v="4"/>
    <x v="3"/>
    <n v="37"/>
    <n v="37"/>
    <n v="296"/>
    <n v="296"/>
    <x v="26"/>
    <x v="5"/>
    <x v="1"/>
  </r>
  <r>
    <d v="2022-06-11T00:00:00"/>
    <s v="P0039"/>
    <n v="13"/>
    <x v="1"/>
    <x v="1"/>
    <n v="0"/>
    <x v="34"/>
    <x v="1"/>
    <x v="3"/>
    <n v="37"/>
    <n v="37"/>
    <n v="481"/>
    <n v="481"/>
    <x v="5"/>
    <x v="5"/>
    <x v="1"/>
  </r>
  <r>
    <d v="2022-06-11T00:00:00"/>
    <s v="P0021"/>
    <n v="6"/>
    <x v="2"/>
    <x v="0"/>
    <n v="0"/>
    <x v="32"/>
    <x v="0"/>
    <x v="0"/>
    <n v="126"/>
    <n v="126"/>
    <n v="756"/>
    <n v="756"/>
    <x v="5"/>
    <x v="5"/>
    <x v="1"/>
  </r>
  <r>
    <d v="2022-06-13T00:00:00"/>
    <s v="P0026"/>
    <n v="6"/>
    <x v="2"/>
    <x v="1"/>
    <n v="0"/>
    <x v="42"/>
    <x v="4"/>
    <x v="3"/>
    <n v="18"/>
    <n v="18"/>
    <n v="108"/>
    <n v="108"/>
    <x v="22"/>
    <x v="5"/>
    <x v="1"/>
  </r>
  <r>
    <d v="2022-06-15T00:00:00"/>
    <s v="P0042"/>
    <n v="15"/>
    <x v="0"/>
    <x v="0"/>
    <n v="0"/>
    <x v="10"/>
    <x v="1"/>
    <x v="0"/>
    <n v="120"/>
    <n v="120"/>
    <n v="1800"/>
    <n v="1800"/>
    <x v="17"/>
    <x v="5"/>
    <x v="1"/>
  </r>
  <r>
    <d v="2022-06-16T00:00:00"/>
    <s v="P0029"/>
    <n v="15"/>
    <x v="1"/>
    <x v="1"/>
    <n v="0"/>
    <x v="19"/>
    <x v="4"/>
    <x v="2"/>
    <n v="47"/>
    <n v="47"/>
    <n v="705"/>
    <n v="705"/>
    <x v="23"/>
    <x v="5"/>
    <x v="1"/>
  </r>
  <r>
    <d v="2022-06-19T00:00:00"/>
    <s v="P0002"/>
    <n v="8"/>
    <x v="2"/>
    <x v="1"/>
    <n v="0"/>
    <x v="29"/>
    <x v="3"/>
    <x v="1"/>
    <n v="105"/>
    <n v="105"/>
    <n v="840"/>
    <n v="840"/>
    <x v="8"/>
    <x v="5"/>
    <x v="1"/>
  </r>
  <r>
    <d v="2022-06-21T00:00:00"/>
    <s v="P0017"/>
    <n v="14"/>
    <x v="2"/>
    <x v="1"/>
    <n v="0"/>
    <x v="39"/>
    <x v="2"/>
    <x v="0"/>
    <n v="134"/>
    <n v="134"/>
    <n v="1876"/>
    <n v="1876"/>
    <x v="10"/>
    <x v="5"/>
    <x v="1"/>
  </r>
  <r>
    <d v="2022-06-22T00:00:00"/>
    <s v="P0040"/>
    <n v="10"/>
    <x v="1"/>
    <x v="1"/>
    <n v="0"/>
    <x v="17"/>
    <x v="1"/>
    <x v="1"/>
    <n v="90"/>
    <n v="90"/>
    <n v="900"/>
    <n v="900"/>
    <x v="18"/>
    <x v="5"/>
    <x v="1"/>
  </r>
  <r>
    <d v="2022-06-22T00:00:00"/>
    <s v="P0001"/>
    <n v="4"/>
    <x v="2"/>
    <x v="1"/>
    <n v="0"/>
    <x v="16"/>
    <x v="3"/>
    <x v="1"/>
    <n v="98"/>
    <n v="98"/>
    <n v="392"/>
    <n v="392"/>
    <x v="18"/>
    <x v="5"/>
    <x v="1"/>
  </r>
  <r>
    <d v="2022-06-23T00:00:00"/>
    <s v="P0004"/>
    <n v="8"/>
    <x v="2"/>
    <x v="0"/>
    <n v="0"/>
    <x v="3"/>
    <x v="3"/>
    <x v="2"/>
    <n v="44"/>
    <n v="44"/>
    <n v="352"/>
    <n v="352"/>
    <x v="19"/>
    <x v="5"/>
    <x v="1"/>
  </r>
  <r>
    <d v="2022-06-24T00:00:00"/>
    <s v="P0018"/>
    <n v="7"/>
    <x v="2"/>
    <x v="1"/>
    <n v="0"/>
    <x v="30"/>
    <x v="2"/>
    <x v="3"/>
    <n v="37"/>
    <n v="37"/>
    <n v="259"/>
    <n v="259"/>
    <x v="27"/>
    <x v="5"/>
    <x v="1"/>
  </r>
  <r>
    <d v="2022-06-25T00:00:00"/>
    <s v="P0012"/>
    <n v="7"/>
    <x v="1"/>
    <x v="0"/>
    <n v="0"/>
    <x v="35"/>
    <x v="2"/>
    <x v="1"/>
    <n v="73"/>
    <n v="73"/>
    <n v="511"/>
    <n v="511"/>
    <x v="11"/>
    <x v="5"/>
    <x v="1"/>
  </r>
  <r>
    <d v="2022-06-26T00:00:00"/>
    <s v="P0034"/>
    <n v="4"/>
    <x v="2"/>
    <x v="1"/>
    <n v="0"/>
    <x v="13"/>
    <x v="4"/>
    <x v="2"/>
    <n v="55"/>
    <n v="55"/>
    <n v="220"/>
    <n v="220"/>
    <x v="12"/>
    <x v="5"/>
    <x v="1"/>
  </r>
  <r>
    <d v="2022-06-26T00:00:00"/>
    <s v="P0043"/>
    <n v="12"/>
    <x v="2"/>
    <x v="0"/>
    <n v="0"/>
    <x v="23"/>
    <x v="1"/>
    <x v="1"/>
    <n v="67"/>
    <n v="67"/>
    <n v="804"/>
    <n v="804"/>
    <x v="12"/>
    <x v="5"/>
    <x v="1"/>
  </r>
  <r>
    <d v="2022-07-03T00:00:00"/>
    <s v="P0033"/>
    <n v="15"/>
    <x v="2"/>
    <x v="1"/>
    <n v="0"/>
    <x v="38"/>
    <x v="4"/>
    <x v="1"/>
    <n v="95"/>
    <n v="95"/>
    <n v="1425"/>
    <n v="1425"/>
    <x v="2"/>
    <x v="6"/>
    <x v="1"/>
  </r>
  <r>
    <d v="2022-07-04T00:00:00"/>
    <s v="P0007"/>
    <n v="7"/>
    <x v="2"/>
    <x v="0"/>
    <n v="0"/>
    <x v="36"/>
    <x v="3"/>
    <x v="2"/>
    <n v="43"/>
    <n v="43"/>
    <n v="301"/>
    <n v="301"/>
    <x v="3"/>
    <x v="6"/>
    <x v="1"/>
  </r>
  <r>
    <d v="2022-07-05T00:00:00"/>
    <s v="P0025"/>
    <n v="7"/>
    <x v="1"/>
    <x v="1"/>
    <n v="0"/>
    <x v="7"/>
    <x v="0"/>
    <x v="3"/>
    <n v="7"/>
    <n v="7"/>
    <n v="49"/>
    <n v="49"/>
    <x v="15"/>
    <x v="6"/>
    <x v="1"/>
  </r>
  <r>
    <d v="2022-07-05T00:00:00"/>
    <s v="P0015"/>
    <n v="8"/>
    <x v="2"/>
    <x v="0"/>
    <n v="0"/>
    <x v="27"/>
    <x v="2"/>
    <x v="3"/>
    <n v="12"/>
    <n v="12"/>
    <n v="96"/>
    <n v="96"/>
    <x v="15"/>
    <x v="6"/>
    <x v="1"/>
  </r>
  <r>
    <d v="2022-07-06T00:00:00"/>
    <s v="P0041"/>
    <n v="2"/>
    <x v="2"/>
    <x v="1"/>
    <n v="0"/>
    <x v="41"/>
    <x v="1"/>
    <x v="0"/>
    <n v="138"/>
    <n v="138"/>
    <n v="276"/>
    <n v="276"/>
    <x v="16"/>
    <x v="6"/>
    <x v="1"/>
  </r>
  <r>
    <d v="2022-07-08T00:00:00"/>
    <s v="P0018"/>
    <n v="2"/>
    <x v="2"/>
    <x v="0"/>
    <n v="0"/>
    <x v="30"/>
    <x v="2"/>
    <x v="3"/>
    <n v="37"/>
    <n v="37"/>
    <n v="74"/>
    <n v="74"/>
    <x v="21"/>
    <x v="6"/>
    <x v="1"/>
  </r>
  <r>
    <d v="2022-07-10T00:00:00"/>
    <s v="P0032"/>
    <n v="12"/>
    <x v="1"/>
    <x v="1"/>
    <n v="0"/>
    <x v="18"/>
    <x v="4"/>
    <x v="1"/>
    <n v="89"/>
    <n v="89"/>
    <n v="1068"/>
    <n v="1068"/>
    <x v="26"/>
    <x v="6"/>
    <x v="1"/>
  </r>
  <r>
    <d v="2022-07-12T00:00:00"/>
    <s v="P0028"/>
    <n v="12"/>
    <x v="2"/>
    <x v="1"/>
    <n v="0"/>
    <x v="33"/>
    <x v="4"/>
    <x v="3"/>
    <n v="37"/>
    <n v="37"/>
    <n v="444"/>
    <n v="444"/>
    <x v="6"/>
    <x v="6"/>
    <x v="1"/>
  </r>
  <r>
    <d v="2022-07-13T00:00:00"/>
    <s v="P0025"/>
    <n v="7"/>
    <x v="2"/>
    <x v="0"/>
    <n v="0"/>
    <x v="7"/>
    <x v="0"/>
    <x v="3"/>
    <n v="7"/>
    <n v="7"/>
    <n v="49"/>
    <n v="49"/>
    <x v="22"/>
    <x v="6"/>
    <x v="1"/>
  </r>
  <r>
    <d v="2022-07-14T00:00:00"/>
    <s v="P0033"/>
    <n v="9"/>
    <x v="2"/>
    <x v="0"/>
    <n v="0"/>
    <x v="38"/>
    <x v="4"/>
    <x v="1"/>
    <n v="95"/>
    <n v="95"/>
    <n v="855"/>
    <n v="855"/>
    <x v="29"/>
    <x v="6"/>
    <x v="1"/>
  </r>
  <r>
    <d v="2022-07-15T00:00:00"/>
    <s v="P0004"/>
    <n v="2"/>
    <x v="1"/>
    <x v="0"/>
    <n v="0"/>
    <x v="3"/>
    <x v="3"/>
    <x v="2"/>
    <n v="44"/>
    <n v="44"/>
    <n v="88"/>
    <n v="88"/>
    <x v="17"/>
    <x v="6"/>
    <x v="1"/>
  </r>
  <r>
    <d v="2022-07-17T00:00:00"/>
    <s v="P0041"/>
    <n v="8"/>
    <x v="1"/>
    <x v="1"/>
    <n v="0"/>
    <x v="41"/>
    <x v="1"/>
    <x v="0"/>
    <n v="138"/>
    <n v="138"/>
    <n v="1104"/>
    <n v="1104"/>
    <x v="30"/>
    <x v="6"/>
    <x v="1"/>
  </r>
  <r>
    <d v="2022-07-18T00:00:00"/>
    <s v="P0010"/>
    <n v="12"/>
    <x v="2"/>
    <x v="0"/>
    <n v="0"/>
    <x v="20"/>
    <x v="2"/>
    <x v="0"/>
    <n v="148"/>
    <n v="148"/>
    <n v="1776"/>
    <n v="1776"/>
    <x v="7"/>
    <x v="6"/>
    <x v="1"/>
  </r>
  <r>
    <d v="2022-07-20T00:00:00"/>
    <s v="P0042"/>
    <n v="8"/>
    <x v="0"/>
    <x v="0"/>
    <n v="0"/>
    <x v="10"/>
    <x v="1"/>
    <x v="0"/>
    <n v="120"/>
    <n v="120"/>
    <n v="960"/>
    <n v="960"/>
    <x v="9"/>
    <x v="6"/>
    <x v="1"/>
  </r>
  <r>
    <d v="2022-07-22T00:00:00"/>
    <s v="P0034"/>
    <n v="6"/>
    <x v="2"/>
    <x v="1"/>
    <n v="0"/>
    <x v="13"/>
    <x v="4"/>
    <x v="2"/>
    <n v="55"/>
    <n v="55"/>
    <n v="330"/>
    <n v="330"/>
    <x v="18"/>
    <x v="6"/>
    <x v="1"/>
  </r>
  <r>
    <d v="2022-07-23T00:00:00"/>
    <s v="P0018"/>
    <n v="2"/>
    <x v="1"/>
    <x v="0"/>
    <n v="0"/>
    <x v="30"/>
    <x v="2"/>
    <x v="3"/>
    <n v="37"/>
    <n v="37"/>
    <n v="74"/>
    <n v="74"/>
    <x v="19"/>
    <x v="6"/>
    <x v="1"/>
  </r>
  <r>
    <d v="2022-07-24T00:00:00"/>
    <s v="P0006"/>
    <n v="14"/>
    <x v="2"/>
    <x v="1"/>
    <n v="0"/>
    <x v="15"/>
    <x v="3"/>
    <x v="1"/>
    <n v="75"/>
    <n v="75"/>
    <n v="1050"/>
    <n v="1050"/>
    <x v="27"/>
    <x v="6"/>
    <x v="1"/>
  </r>
  <r>
    <d v="2022-07-24T00:00:00"/>
    <s v="P0027"/>
    <n v="1"/>
    <x v="1"/>
    <x v="0"/>
    <n v="0"/>
    <x v="26"/>
    <x v="4"/>
    <x v="2"/>
    <n v="48"/>
    <n v="48"/>
    <n v="48"/>
    <n v="48"/>
    <x v="27"/>
    <x v="6"/>
    <x v="1"/>
  </r>
  <r>
    <d v="2022-07-25T00:00:00"/>
    <s v="P0044"/>
    <n v="2"/>
    <x v="2"/>
    <x v="1"/>
    <n v="0"/>
    <x v="11"/>
    <x v="1"/>
    <x v="1"/>
    <n v="76"/>
    <n v="76"/>
    <n v="152"/>
    <n v="152"/>
    <x v="11"/>
    <x v="6"/>
    <x v="1"/>
  </r>
  <r>
    <d v="2022-07-25T00:00:00"/>
    <s v="P0017"/>
    <n v="12"/>
    <x v="2"/>
    <x v="1"/>
    <n v="0"/>
    <x v="39"/>
    <x v="2"/>
    <x v="0"/>
    <n v="134"/>
    <n v="134"/>
    <n v="1608"/>
    <n v="1608"/>
    <x v="11"/>
    <x v="6"/>
    <x v="1"/>
  </r>
  <r>
    <d v="2022-07-25T00:00:00"/>
    <s v="P0003"/>
    <n v="13"/>
    <x v="1"/>
    <x v="1"/>
    <n v="0"/>
    <x v="6"/>
    <x v="3"/>
    <x v="1"/>
    <n v="71"/>
    <n v="71"/>
    <n v="923"/>
    <n v="923"/>
    <x v="11"/>
    <x v="6"/>
    <x v="1"/>
  </r>
  <r>
    <d v="2022-07-26T00:00:00"/>
    <s v="P0003"/>
    <n v="10"/>
    <x v="1"/>
    <x v="0"/>
    <n v="0"/>
    <x v="6"/>
    <x v="3"/>
    <x v="1"/>
    <n v="71"/>
    <n v="71"/>
    <n v="710"/>
    <n v="710"/>
    <x v="12"/>
    <x v="6"/>
    <x v="1"/>
  </r>
  <r>
    <d v="2022-07-26T00:00:00"/>
    <s v="P0026"/>
    <n v="1"/>
    <x v="1"/>
    <x v="1"/>
    <n v="0"/>
    <x v="42"/>
    <x v="4"/>
    <x v="3"/>
    <n v="18"/>
    <n v="18"/>
    <n v="18"/>
    <n v="18"/>
    <x v="12"/>
    <x v="6"/>
    <x v="1"/>
  </r>
  <r>
    <d v="2022-08-03T00:00:00"/>
    <s v="P0012"/>
    <n v="5"/>
    <x v="2"/>
    <x v="1"/>
    <n v="0"/>
    <x v="35"/>
    <x v="2"/>
    <x v="1"/>
    <n v="73"/>
    <n v="73"/>
    <n v="365"/>
    <n v="365"/>
    <x v="2"/>
    <x v="7"/>
    <x v="1"/>
  </r>
  <r>
    <d v="2022-08-06T00:00:00"/>
    <s v="P0016"/>
    <n v="9"/>
    <x v="1"/>
    <x v="0"/>
    <n v="0"/>
    <x v="21"/>
    <x v="2"/>
    <x v="3"/>
    <n v="13"/>
    <n v="13"/>
    <n v="117"/>
    <n v="117"/>
    <x v="16"/>
    <x v="7"/>
    <x v="1"/>
  </r>
  <r>
    <d v="2022-08-08T00:00:00"/>
    <s v="P0016"/>
    <n v="2"/>
    <x v="2"/>
    <x v="0"/>
    <n v="0"/>
    <x v="21"/>
    <x v="2"/>
    <x v="3"/>
    <n v="13"/>
    <n v="13"/>
    <n v="26"/>
    <n v="26"/>
    <x v="21"/>
    <x v="7"/>
    <x v="1"/>
  </r>
  <r>
    <d v="2022-08-08T00:00:00"/>
    <s v="P0032"/>
    <n v="12"/>
    <x v="2"/>
    <x v="1"/>
    <n v="0"/>
    <x v="18"/>
    <x v="4"/>
    <x v="1"/>
    <n v="89"/>
    <n v="89"/>
    <n v="1068"/>
    <n v="1068"/>
    <x v="21"/>
    <x v="7"/>
    <x v="1"/>
  </r>
  <r>
    <d v="2022-08-08T00:00:00"/>
    <s v="P0021"/>
    <n v="11"/>
    <x v="2"/>
    <x v="1"/>
    <n v="0"/>
    <x v="32"/>
    <x v="0"/>
    <x v="0"/>
    <n v="126"/>
    <n v="126"/>
    <n v="1386"/>
    <n v="1386"/>
    <x v="21"/>
    <x v="7"/>
    <x v="1"/>
  </r>
  <r>
    <d v="2022-08-14T00:00:00"/>
    <s v="P0030"/>
    <n v="14"/>
    <x v="2"/>
    <x v="1"/>
    <n v="0"/>
    <x v="28"/>
    <x v="4"/>
    <x v="0"/>
    <n v="148"/>
    <n v="148"/>
    <n v="2072"/>
    <n v="2072"/>
    <x v="29"/>
    <x v="7"/>
    <x v="1"/>
  </r>
  <r>
    <d v="2022-08-15T00:00:00"/>
    <s v="P0011"/>
    <n v="10"/>
    <x v="0"/>
    <x v="1"/>
    <n v="0"/>
    <x v="31"/>
    <x v="2"/>
    <x v="2"/>
    <n v="44"/>
    <n v="44"/>
    <n v="440"/>
    <n v="440"/>
    <x v="17"/>
    <x v="7"/>
    <x v="1"/>
  </r>
  <r>
    <d v="2022-08-15T00:00:00"/>
    <s v="P0015"/>
    <n v="7"/>
    <x v="2"/>
    <x v="0"/>
    <n v="0"/>
    <x v="27"/>
    <x v="2"/>
    <x v="3"/>
    <n v="12"/>
    <n v="12"/>
    <n v="84"/>
    <n v="84"/>
    <x v="17"/>
    <x v="7"/>
    <x v="1"/>
  </r>
  <r>
    <d v="2022-08-18T00:00:00"/>
    <s v="P0029"/>
    <n v="8"/>
    <x v="1"/>
    <x v="0"/>
    <n v="0"/>
    <x v="19"/>
    <x v="4"/>
    <x v="2"/>
    <n v="47"/>
    <n v="47"/>
    <n v="376"/>
    <n v="376"/>
    <x v="7"/>
    <x v="7"/>
    <x v="1"/>
  </r>
  <r>
    <d v="2022-08-18T00:00:00"/>
    <s v="P0010"/>
    <n v="2"/>
    <x v="1"/>
    <x v="1"/>
    <n v="0"/>
    <x v="20"/>
    <x v="2"/>
    <x v="0"/>
    <n v="148"/>
    <n v="148"/>
    <n v="296"/>
    <n v="296"/>
    <x v="7"/>
    <x v="7"/>
    <x v="1"/>
  </r>
  <r>
    <d v="2022-08-19T00:00:00"/>
    <s v="P0007"/>
    <n v="3"/>
    <x v="1"/>
    <x v="0"/>
    <n v="0"/>
    <x v="36"/>
    <x v="3"/>
    <x v="2"/>
    <n v="43"/>
    <n v="43"/>
    <n v="129"/>
    <n v="129"/>
    <x v="8"/>
    <x v="7"/>
    <x v="1"/>
  </r>
  <r>
    <d v="2022-08-20T00:00:00"/>
    <s v="P0023"/>
    <n v="13"/>
    <x v="2"/>
    <x v="0"/>
    <n v="0"/>
    <x v="12"/>
    <x v="0"/>
    <x v="0"/>
    <n v="141"/>
    <n v="141"/>
    <n v="1833"/>
    <n v="1833"/>
    <x v="9"/>
    <x v="7"/>
    <x v="1"/>
  </r>
  <r>
    <d v="2022-08-20T00:00:00"/>
    <s v="P0033"/>
    <n v="14"/>
    <x v="2"/>
    <x v="0"/>
    <n v="0"/>
    <x v="38"/>
    <x v="4"/>
    <x v="1"/>
    <n v="95"/>
    <n v="95"/>
    <n v="1330"/>
    <n v="1330"/>
    <x v="9"/>
    <x v="7"/>
    <x v="1"/>
  </r>
  <r>
    <d v="2022-08-21T00:00:00"/>
    <s v="P0016"/>
    <n v="4"/>
    <x v="2"/>
    <x v="0"/>
    <n v="0"/>
    <x v="21"/>
    <x v="2"/>
    <x v="3"/>
    <n v="13"/>
    <n v="13"/>
    <n v="52"/>
    <n v="52"/>
    <x v="10"/>
    <x v="7"/>
    <x v="1"/>
  </r>
  <r>
    <d v="2022-08-23T00:00:00"/>
    <s v="P0044"/>
    <n v="11"/>
    <x v="1"/>
    <x v="0"/>
    <n v="0"/>
    <x v="11"/>
    <x v="1"/>
    <x v="1"/>
    <n v="76"/>
    <n v="76"/>
    <n v="836"/>
    <n v="836"/>
    <x v="19"/>
    <x v="7"/>
    <x v="1"/>
  </r>
  <r>
    <d v="2022-08-23T00:00:00"/>
    <s v="P0029"/>
    <n v="14"/>
    <x v="2"/>
    <x v="1"/>
    <n v="0"/>
    <x v="19"/>
    <x v="4"/>
    <x v="2"/>
    <n v="47"/>
    <n v="47"/>
    <n v="658"/>
    <n v="658"/>
    <x v="19"/>
    <x v="7"/>
    <x v="1"/>
  </r>
  <r>
    <d v="2022-08-24T00:00:00"/>
    <s v="P0005"/>
    <n v="5"/>
    <x v="2"/>
    <x v="1"/>
    <n v="0"/>
    <x v="24"/>
    <x v="3"/>
    <x v="0"/>
    <n v="133"/>
    <n v="133"/>
    <n v="665"/>
    <n v="665"/>
    <x v="27"/>
    <x v="7"/>
    <x v="1"/>
  </r>
  <r>
    <d v="2022-08-26T00:00:00"/>
    <s v="P0019"/>
    <n v="13"/>
    <x v="0"/>
    <x v="1"/>
    <n v="0"/>
    <x v="40"/>
    <x v="2"/>
    <x v="0"/>
    <n v="150"/>
    <n v="150"/>
    <n v="1950"/>
    <n v="1950"/>
    <x v="12"/>
    <x v="7"/>
    <x v="1"/>
  </r>
  <r>
    <d v="2022-08-26T00:00:00"/>
    <s v="P0037"/>
    <n v="8"/>
    <x v="1"/>
    <x v="0"/>
    <n v="0"/>
    <x v="8"/>
    <x v="1"/>
    <x v="1"/>
    <n v="67"/>
    <n v="67"/>
    <n v="536"/>
    <n v="536"/>
    <x v="12"/>
    <x v="7"/>
    <x v="1"/>
  </r>
  <r>
    <d v="2022-08-27T00:00:00"/>
    <s v="P0039"/>
    <n v="15"/>
    <x v="0"/>
    <x v="0"/>
    <n v="0"/>
    <x v="34"/>
    <x v="1"/>
    <x v="3"/>
    <n v="37"/>
    <n v="37"/>
    <n v="555"/>
    <n v="555"/>
    <x v="13"/>
    <x v="7"/>
    <x v="1"/>
  </r>
  <r>
    <d v="2022-08-28T00:00:00"/>
    <s v="P0005"/>
    <n v="9"/>
    <x v="1"/>
    <x v="0"/>
    <n v="0"/>
    <x v="24"/>
    <x v="3"/>
    <x v="0"/>
    <n v="133"/>
    <n v="133"/>
    <n v="1197"/>
    <n v="1197"/>
    <x v="14"/>
    <x v="7"/>
    <x v="1"/>
  </r>
  <r>
    <d v="2022-08-28T00:00:00"/>
    <s v="P0039"/>
    <n v="5"/>
    <x v="2"/>
    <x v="0"/>
    <n v="0"/>
    <x v="34"/>
    <x v="1"/>
    <x v="3"/>
    <n v="37"/>
    <n v="37"/>
    <n v="185"/>
    <n v="185"/>
    <x v="14"/>
    <x v="7"/>
    <x v="1"/>
  </r>
  <r>
    <d v="2022-08-30T00:00:00"/>
    <s v="P0006"/>
    <n v="6"/>
    <x v="1"/>
    <x v="1"/>
    <n v="0"/>
    <x v="15"/>
    <x v="3"/>
    <x v="1"/>
    <n v="75"/>
    <n v="75"/>
    <n v="450"/>
    <n v="450"/>
    <x v="24"/>
    <x v="7"/>
    <x v="1"/>
  </r>
  <r>
    <d v="2022-08-30T00:00:00"/>
    <s v="P0043"/>
    <n v="6"/>
    <x v="2"/>
    <x v="1"/>
    <n v="0"/>
    <x v="23"/>
    <x v="1"/>
    <x v="1"/>
    <n v="67"/>
    <n v="67"/>
    <n v="402"/>
    <n v="402"/>
    <x v="24"/>
    <x v="7"/>
    <x v="1"/>
  </r>
  <r>
    <d v="2022-08-30T00:00:00"/>
    <s v="P0025"/>
    <n v="5"/>
    <x v="2"/>
    <x v="1"/>
    <n v="0"/>
    <x v="7"/>
    <x v="0"/>
    <x v="3"/>
    <n v="7"/>
    <n v="7"/>
    <n v="35"/>
    <n v="35"/>
    <x v="24"/>
    <x v="7"/>
    <x v="1"/>
  </r>
  <r>
    <d v="2022-08-31T00:00:00"/>
    <s v="P0015"/>
    <n v="13"/>
    <x v="2"/>
    <x v="1"/>
    <n v="0"/>
    <x v="27"/>
    <x v="2"/>
    <x v="3"/>
    <n v="12"/>
    <n v="12"/>
    <n v="156"/>
    <n v="156"/>
    <x v="25"/>
    <x v="7"/>
    <x v="1"/>
  </r>
  <r>
    <d v="2022-09-04T00:00:00"/>
    <s v="P0002"/>
    <n v="1"/>
    <x v="2"/>
    <x v="1"/>
    <n v="0"/>
    <x v="29"/>
    <x v="3"/>
    <x v="1"/>
    <n v="105"/>
    <n v="105"/>
    <n v="105"/>
    <n v="105"/>
    <x v="3"/>
    <x v="8"/>
    <x v="1"/>
  </r>
  <r>
    <d v="2022-09-06T00:00:00"/>
    <s v="P0005"/>
    <n v="12"/>
    <x v="0"/>
    <x v="0"/>
    <n v="0"/>
    <x v="24"/>
    <x v="3"/>
    <x v="0"/>
    <n v="133"/>
    <n v="133"/>
    <n v="1596"/>
    <n v="1596"/>
    <x v="16"/>
    <x v="8"/>
    <x v="1"/>
  </r>
  <r>
    <d v="2022-09-09T00:00:00"/>
    <s v="P0041"/>
    <n v="9"/>
    <x v="2"/>
    <x v="0"/>
    <n v="0"/>
    <x v="41"/>
    <x v="1"/>
    <x v="0"/>
    <n v="138"/>
    <n v="138"/>
    <n v="1242"/>
    <n v="1242"/>
    <x v="4"/>
    <x v="8"/>
    <x v="1"/>
  </r>
  <r>
    <d v="2022-09-09T00:00:00"/>
    <s v="P0003"/>
    <n v="3"/>
    <x v="2"/>
    <x v="0"/>
    <n v="0"/>
    <x v="6"/>
    <x v="3"/>
    <x v="1"/>
    <n v="71"/>
    <n v="71"/>
    <n v="213"/>
    <n v="213"/>
    <x v="4"/>
    <x v="8"/>
    <x v="1"/>
  </r>
  <r>
    <d v="2022-09-10T00:00:00"/>
    <s v="P0035"/>
    <n v="15"/>
    <x v="1"/>
    <x v="1"/>
    <n v="0"/>
    <x v="4"/>
    <x v="4"/>
    <x v="3"/>
    <n v="5"/>
    <n v="5"/>
    <n v="75"/>
    <n v="75"/>
    <x v="26"/>
    <x v="8"/>
    <x v="1"/>
  </r>
  <r>
    <d v="2022-09-10T00:00:00"/>
    <s v="P0038"/>
    <n v="4"/>
    <x v="2"/>
    <x v="1"/>
    <n v="0"/>
    <x v="1"/>
    <x v="1"/>
    <x v="1"/>
    <n v="72"/>
    <n v="72"/>
    <n v="288"/>
    <n v="288"/>
    <x v="26"/>
    <x v="8"/>
    <x v="1"/>
  </r>
  <r>
    <d v="2022-09-14T00:00:00"/>
    <s v="P0029"/>
    <n v="3"/>
    <x v="2"/>
    <x v="1"/>
    <n v="0"/>
    <x v="19"/>
    <x v="4"/>
    <x v="2"/>
    <n v="47"/>
    <n v="47"/>
    <n v="141"/>
    <n v="141"/>
    <x v="29"/>
    <x v="8"/>
    <x v="1"/>
  </r>
  <r>
    <d v="2022-09-15T00:00:00"/>
    <s v="P0037"/>
    <n v="15"/>
    <x v="1"/>
    <x v="0"/>
    <n v="0"/>
    <x v="8"/>
    <x v="1"/>
    <x v="1"/>
    <n v="67"/>
    <n v="67"/>
    <n v="1005"/>
    <n v="1005"/>
    <x v="17"/>
    <x v="8"/>
    <x v="1"/>
  </r>
  <r>
    <d v="2022-09-18T00:00:00"/>
    <s v="P0026"/>
    <n v="14"/>
    <x v="1"/>
    <x v="1"/>
    <n v="0"/>
    <x v="42"/>
    <x v="4"/>
    <x v="3"/>
    <n v="18"/>
    <n v="18"/>
    <n v="252"/>
    <n v="252"/>
    <x v="7"/>
    <x v="8"/>
    <x v="1"/>
  </r>
  <r>
    <d v="2022-09-19T00:00:00"/>
    <s v="P0033"/>
    <n v="8"/>
    <x v="0"/>
    <x v="1"/>
    <n v="0"/>
    <x v="38"/>
    <x v="4"/>
    <x v="1"/>
    <n v="95"/>
    <n v="95"/>
    <n v="760"/>
    <n v="760"/>
    <x v="8"/>
    <x v="8"/>
    <x v="1"/>
  </r>
  <r>
    <d v="2022-09-20T00:00:00"/>
    <s v="P0033"/>
    <n v="6"/>
    <x v="2"/>
    <x v="0"/>
    <n v="0"/>
    <x v="38"/>
    <x v="4"/>
    <x v="1"/>
    <n v="95"/>
    <n v="95"/>
    <n v="570"/>
    <n v="570"/>
    <x v="9"/>
    <x v="8"/>
    <x v="1"/>
  </r>
  <r>
    <d v="2022-09-20T00:00:00"/>
    <s v="P0001"/>
    <n v="10"/>
    <x v="2"/>
    <x v="0"/>
    <n v="0"/>
    <x v="16"/>
    <x v="3"/>
    <x v="1"/>
    <n v="98"/>
    <n v="98"/>
    <n v="980"/>
    <n v="980"/>
    <x v="9"/>
    <x v="8"/>
    <x v="1"/>
  </r>
  <r>
    <d v="2022-09-21T00:00:00"/>
    <s v="P0018"/>
    <n v="14"/>
    <x v="1"/>
    <x v="0"/>
    <n v="0"/>
    <x v="30"/>
    <x v="2"/>
    <x v="3"/>
    <n v="37"/>
    <n v="37"/>
    <n v="518"/>
    <n v="518"/>
    <x v="10"/>
    <x v="8"/>
    <x v="1"/>
  </r>
  <r>
    <d v="2022-09-21T00:00:00"/>
    <s v="P0026"/>
    <n v="5"/>
    <x v="2"/>
    <x v="1"/>
    <n v="0"/>
    <x v="42"/>
    <x v="4"/>
    <x v="3"/>
    <n v="18"/>
    <n v="18"/>
    <n v="90"/>
    <n v="90"/>
    <x v="10"/>
    <x v="8"/>
    <x v="1"/>
  </r>
  <r>
    <d v="2022-09-22T00:00:00"/>
    <s v="P0043"/>
    <n v="12"/>
    <x v="1"/>
    <x v="0"/>
    <n v="0"/>
    <x v="23"/>
    <x v="1"/>
    <x v="1"/>
    <n v="67"/>
    <n v="67"/>
    <n v="804"/>
    <n v="804"/>
    <x v="18"/>
    <x v="8"/>
    <x v="1"/>
  </r>
  <r>
    <d v="2022-09-23T00:00:00"/>
    <s v="P0012"/>
    <n v="12"/>
    <x v="2"/>
    <x v="0"/>
    <n v="0"/>
    <x v="35"/>
    <x v="2"/>
    <x v="1"/>
    <n v="73"/>
    <n v="73"/>
    <n v="876"/>
    <n v="876"/>
    <x v="19"/>
    <x v="8"/>
    <x v="1"/>
  </r>
  <r>
    <d v="2022-09-24T00:00:00"/>
    <s v="P0032"/>
    <n v="14"/>
    <x v="2"/>
    <x v="0"/>
    <n v="0"/>
    <x v="18"/>
    <x v="4"/>
    <x v="1"/>
    <n v="89"/>
    <n v="89"/>
    <n v="1246"/>
    <n v="1246"/>
    <x v="27"/>
    <x v="8"/>
    <x v="1"/>
  </r>
  <r>
    <d v="2022-09-24T00:00:00"/>
    <s v="P0032"/>
    <n v="8"/>
    <x v="2"/>
    <x v="1"/>
    <n v="0"/>
    <x v="18"/>
    <x v="4"/>
    <x v="1"/>
    <n v="89"/>
    <n v="89"/>
    <n v="712"/>
    <n v="712"/>
    <x v="27"/>
    <x v="8"/>
    <x v="1"/>
  </r>
  <r>
    <d v="2022-09-27T00:00:00"/>
    <s v="P0036"/>
    <n v="4"/>
    <x v="2"/>
    <x v="1"/>
    <n v="0"/>
    <x v="43"/>
    <x v="4"/>
    <x v="1"/>
    <n v="90"/>
    <n v="90"/>
    <n v="360"/>
    <n v="360"/>
    <x v="13"/>
    <x v="8"/>
    <x v="1"/>
  </r>
  <r>
    <d v="2022-09-27T00:00:00"/>
    <s v="P0044"/>
    <n v="9"/>
    <x v="2"/>
    <x v="1"/>
    <n v="0"/>
    <x v="11"/>
    <x v="1"/>
    <x v="1"/>
    <n v="76"/>
    <n v="76"/>
    <n v="684"/>
    <n v="684"/>
    <x v="13"/>
    <x v="8"/>
    <x v="1"/>
  </r>
  <r>
    <d v="2022-09-27T00:00:00"/>
    <s v="P0038"/>
    <n v="3"/>
    <x v="0"/>
    <x v="1"/>
    <n v="0"/>
    <x v="1"/>
    <x v="1"/>
    <x v="1"/>
    <n v="72"/>
    <n v="72"/>
    <n v="216"/>
    <n v="216"/>
    <x v="13"/>
    <x v="8"/>
    <x v="1"/>
  </r>
  <r>
    <d v="2022-09-29T00:00:00"/>
    <s v="P0034"/>
    <n v="13"/>
    <x v="2"/>
    <x v="0"/>
    <n v="0"/>
    <x v="13"/>
    <x v="4"/>
    <x v="2"/>
    <n v="55"/>
    <n v="55"/>
    <n v="715"/>
    <n v="715"/>
    <x v="28"/>
    <x v="8"/>
    <x v="1"/>
  </r>
  <r>
    <d v="2022-10-03T00:00:00"/>
    <s v="P0011"/>
    <n v="5"/>
    <x v="2"/>
    <x v="1"/>
    <n v="0"/>
    <x v="31"/>
    <x v="2"/>
    <x v="2"/>
    <n v="44"/>
    <n v="44"/>
    <n v="220"/>
    <n v="220"/>
    <x v="2"/>
    <x v="9"/>
    <x v="1"/>
  </r>
  <r>
    <d v="2022-10-04T00:00:00"/>
    <s v="P0007"/>
    <n v="15"/>
    <x v="2"/>
    <x v="0"/>
    <n v="0"/>
    <x v="36"/>
    <x v="3"/>
    <x v="2"/>
    <n v="43"/>
    <n v="43"/>
    <n v="645"/>
    <n v="645"/>
    <x v="3"/>
    <x v="9"/>
    <x v="1"/>
  </r>
  <r>
    <d v="2022-10-06T00:00:00"/>
    <s v="P0035"/>
    <n v="1"/>
    <x v="2"/>
    <x v="0"/>
    <n v="0"/>
    <x v="4"/>
    <x v="4"/>
    <x v="3"/>
    <n v="5"/>
    <n v="5"/>
    <n v="5"/>
    <n v="5"/>
    <x v="16"/>
    <x v="9"/>
    <x v="1"/>
  </r>
  <r>
    <d v="2022-10-09T00:00:00"/>
    <s v="P0038"/>
    <n v="14"/>
    <x v="1"/>
    <x v="0"/>
    <n v="0"/>
    <x v="1"/>
    <x v="1"/>
    <x v="1"/>
    <n v="72"/>
    <n v="72"/>
    <n v="1008"/>
    <n v="1008"/>
    <x v="4"/>
    <x v="9"/>
    <x v="1"/>
  </r>
  <r>
    <d v="2022-10-10T00:00:00"/>
    <s v="P0019"/>
    <n v="9"/>
    <x v="2"/>
    <x v="0"/>
    <n v="0"/>
    <x v="40"/>
    <x v="2"/>
    <x v="0"/>
    <n v="150"/>
    <n v="150"/>
    <n v="1350"/>
    <n v="1350"/>
    <x v="26"/>
    <x v="9"/>
    <x v="1"/>
  </r>
  <r>
    <d v="2022-10-10T00:00:00"/>
    <s v="P0044"/>
    <n v="12"/>
    <x v="1"/>
    <x v="0"/>
    <n v="0"/>
    <x v="11"/>
    <x v="1"/>
    <x v="1"/>
    <n v="76"/>
    <n v="76"/>
    <n v="912"/>
    <n v="912"/>
    <x v="26"/>
    <x v="9"/>
    <x v="1"/>
  </r>
  <r>
    <d v="2022-10-11T00:00:00"/>
    <s v="P0008"/>
    <n v="10"/>
    <x v="2"/>
    <x v="0"/>
    <n v="0"/>
    <x v="25"/>
    <x v="3"/>
    <x v="1"/>
    <n v="83"/>
    <n v="83"/>
    <n v="830"/>
    <n v="830"/>
    <x v="5"/>
    <x v="9"/>
    <x v="1"/>
  </r>
  <r>
    <d v="2022-10-13T00:00:00"/>
    <s v="P0002"/>
    <n v="15"/>
    <x v="1"/>
    <x v="0"/>
    <n v="0"/>
    <x v="29"/>
    <x v="3"/>
    <x v="1"/>
    <n v="105"/>
    <n v="105"/>
    <n v="1575"/>
    <n v="1575"/>
    <x v="22"/>
    <x v="9"/>
    <x v="1"/>
  </r>
  <r>
    <d v="2022-10-14T00:00:00"/>
    <s v="P0044"/>
    <n v="15"/>
    <x v="0"/>
    <x v="0"/>
    <n v="0"/>
    <x v="11"/>
    <x v="1"/>
    <x v="1"/>
    <n v="76"/>
    <n v="76"/>
    <n v="1140"/>
    <n v="1140"/>
    <x v="29"/>
    <x v="9"/>
    <x v="1"/>
  </r>
  <r>
    <d v="2022-10-15T00:00:00"/>
    <s v="P0015"/>
    <n v="10"/>
    <x v="2"/>
    <x v="1"/>
    <n v="0"/>
    <x v="27"/>
    <x v="2"/>
    <x v="3"/>
    <n v="12"/>
    <n v="12"/>
    <n v="120"/>
    <n v="120"/>
    <x v="17"/>
    <x v="9"/>
    <x v="1"/>
  </r>
  <r>
    <d v="2022-10-16T00:00:00"/>
    <s v="P0036"/>
    <n v="3"/>
    <x v="1"/>
    <x v="0"/>
    <n v="0"/>
    <x v="43"/>
    <x v="4"/>
    <x v="1"/>
    <n v="90"/>
    <n v="90"/>
    <n v="270"/>
    <n v="270"/>
    <x v="23"/>
    <x v="9"/>
    <x v="1"/>
  </r>
  <r>
    <d v="2022-10-23T00:00:00"/>
    <s v="P0024"/>
    <n v="14"/>
    <x v="1"/>
    <x v="1"/>
    <n v="0"/>
    <x v="0"/>
    <x v="0"/>
    <x v="0"/>
    <n v="144"/>
    <n v="144"/>
    <n v="2016"/>
    <n v="2016"/>
    <x v="19"/>
    <x v="9"/>
    <x v="1"/>
  </r>
  <r>
    <d v="2022-10-30T00:00:00"/>
    <s v="P0042"/>
    <n v="3"/>
    <x v="2"/>
    <x v="1"/>
    <n v="0"/>
    <x v="10"/>
    <x v="1"/>
    <x v="0"/>
    <n v="120"/>
    <n v="120"/>
    <n v="360"/>
    <n v="360"/>
    <x v="24"/>
    <x v="9"/>
    <x v="1"/>
  </r>
  <r>
    <d v="2022-10-31T00:00:00"/>
    <s v="P0038"/>
    <n v="8"/>
    <x v="2"/>
    <x v="0"/>
    <n v="0"/>
    <x v="1"/>
    <x v="1"/>
    <x v="1"/>
    <n v="72"/>
    <n v="72"/>
    <n v="576"/>
    <n v="576"/>
    <x v="25"/>
    <x v="9"/>
    <x v="1"/>
  </r>
  <r>
    <d v="2022-11-01T00:00:00"/>
    <s v="P0012"/>
    <n v="15"/>
    <x v="0"/>
    <x v="0"/>
    <n v="0"/>
    <x v="35"/>
    <x v="2"/>
    <x v="1"/>
    <n v="73"/>
    <n v="73"/>
    <n v="1095"/>
    <n v="1095"/>
    <x v="0"/>
    <x v="10"/>
    <x v="1"/>
  </r>
  <r>
    <d v="2022-11-02T00:00:00"/>
    <s v="P0015"/>
    <n v="15"/>
    <x v="0"/>
    <x v="1"/>
    <n v="0"/>
    <x v="27"/>
    <x v="2"/>
    <x v="3"/>
    <n v="12"/>
    <n v="12"/>
    <n v="180"/>
    <n v="180"/>
    <x v="1"/>
    <x v="10"/>
    <x v="1"/>
  </r>
  <r>
    <d v="2022-11-02T00:00:00"/>
    <s v="P0030"/>
    <n v="15"/>
    <x v="2"/>
    <x v="1"/>
    <n v="0"/>
    <x v="28"/>
    <x v="4"/>
    <x v="0"/>
    <n v="148"/>
    <n v="148"/>
    <n v="2220"/>
    <n v="2220"/>
    <x v="1"/>
    <x v="10"/>
    <x v="1"/>
  </r>
  <r>
    <d v="2022-11-02T00:00:00"/>
    <s v="P0035"/>
    <n v="5"/>
    <x v="2"/>
    <x v="1"/>
    <n v="0"/>
    <x v="4"/>
    <x v="4"/>
    <x v="3"/>
    <n v="5"/>
    <n v="5"/>
    <n v="25"/>
    <n v="25"/>
    <x v="1"/>
    <x v="10"/>
    <x v="1"/>
  </r>
  <r>
    <d v="2022-11-03T00:00:00"/>
    <s v="P0020"/>
    <n v="11"/>
    <x v="1"/>
    <x v="0"/>
    <n v="0"/>
    <x v="14"/>
    <x v="0"/>
    <x v="2"/>
    <n v="61"/>
    <n v="61"/>
    <n v="671"/>
    <n v="671"/>
    <x v="2"/>
    <x v="10"/>
    <x v="1"/>
  </r>
  <r>
    <d v="2022-11-04T00:00:00"/>
    <s v="P0008"/>
    <n v="10"/>
    <x v="2"/>
    <x v="0"/>
    <n v="0"/>
    <x v="25"/>
    <x v="3"/>
    <x v="1"/>
    <n v="83"/>
    <n v="83"/>
    <n v="830"/>
    <n v="830"/>
    <x v="3"/>
    <x v="10"/>
    <x v="1"/>
  </r>
  <r>
    <d v="2022-11-05T00:00:00"/>
    <s v="P0019"/>
    <n v="15"/>
    <x v="2"/>
    <x v="1"/>
    <n v="0"/>
    <x v="40"/>
    <x v="2"/>
    <x v="0"/>
    <n v="150"/>
    <n v="150"/>
    <n v="2250"/>
    <n v="2250"/>
    <x v="15"/>
    <x v="10"/>
    <x v="1"/>
  </r>
  <r>
    <d v="2022-11-06T00:00:00"/>
    <s v="P0043"/>
    <n v="13"/>
    <x v="2"/>
    <x v="1"/>
    <n v="0"/>
    <x v="23"/>
    <x v="1"/>
    <x v="1"/>
    <n v="67"/>
    <n v="67"/>
    <n v="871"/>
    <n v="871"/>
    <x v="16"/>
    <x v="10"/>
    <x v="1"/>
  </r>
  <r>
    <d v="2022-11-06T00:00:00"/>
    <s v="P0015"/>
    <n v="13"/>
    <x v="1"/>
    <x v="0"/>
    <n v="0"/>
    <x v="27"/>
    <x v="2"/>
    <x v="3"/>
    <n v="12"/>
    <n v="12"/>
    <n v="156"/>
    <n v="156"/>
    <x v="16"/>
    <x v="10"/>
    <x v="1"/>
  </r>
  <r>
    <d v="2022-11-06T00:00:00"/>
    <s v="P0042"/>
    <n v="13"/>
    <x v="2"/>
    <x v="1"/>
    <n v="0"/>
    <x v="10"/>
    <x v="1"/>
    <x v="0"/>
    <n v="120"/>
    <n v="120"/>
    <n v="1560"/>
    <n v="1560"/>
    <x v="16"/>
    <x v="10"/>
    <x v="1"/>
  </r>
  <r>
    <d v="2022-11-07T00:00:00"/>
    <s v="P0040"/>
    <n v="13"/>
    <x v="1"/>
    <x v="1"/>
    <n v="0"/>
    <x v="17"/>
    <x v="1"/>
    <x v="1"/>
    <n v="90"/>
    <n v="90"/>
    <n v="1170"/>
    <n v="1170"/>
    <x v="20"/>
    <x v="10"/>
    <x v="1"/>
  </r>
  <r>
    <d v="2022-11-08T00:00:00"/>
    <s v="P0036"/>
    <n v="11"/>
    <x v="0"/>
    <x v="1"/>
    <n v="0"/>
    <x v="43"/>
    <x v="4"/>
    <x v="1"/>
    <n v="90"/>
    <n v="90"/>
    <n v="990"/>
    <n v="990"/>
    <x v="21"/>
    <x v="10"/>
    <x v="1"/>
  </r>
  <r>
    <d v="2022-11-08T00:00:00"/>
    <s v="P0019"/>
    <n v="10"/>
    <x v="0"/>
    <x v="0"/>
    <n v="0"/>
    <x v="40"/>
    <x v="2"/>
    <x v="0"/>
    <n v="150"/>
    <n v="150"/>
    <n v="1500"/>
    <n v="1500"/>
    <x v="21"/>
    <x v="10"/>
    <x v="1"/>
  </r>
  <r>
    <d v="2022-11-09T00:00:00"/>
    <s v="P0027"/>
    <n v="8"/>
    <x v="1"/>
    <x v="1"/>
    <n v="0"/>
    <x v="26"/>
    <x v="4"/>
    <x v="2"/>
    <n v="48"/>
    <n v="48"/>
    <n v="384"/>
    <n v="384"/>
    <x v="4"/>
    <x v="10"/>
    <x v="1"/>
  </r>
  <r>
    <d v="2022-11-10T00:00:00"/>
    <s v="P0018"/>
    <n v="7"/>
    <x v="2"/>
    <x v="0"/>
    <n v="0"/>
    <x v="30"/>
    <x v="2"/>
    <x v="3"/>
    <n v="37"/>
    <n v="37"/>
    <n v="259"/>
    <n v="259"/>
    <x v="26"/>
    <x v="10"/>
    <x v="1"/>
  </r>
  <r>
    <d v="2022-11-13T00:00:00"/>
    <s v="P0027"/>
    <n v="10"/>
    <x v="0"/>
    <x v="1"/>
    <n v="0"/>
    <x v="26"/>
    <x v="4"/>
    <x v="2"/>
    <n v="48"/>
    <n v="48"/>
    <n v="480"/>
    <n v="480"/>
    <x v="22"/>
    <x v="10"/>
    <x v="1"/>
  </r>
  <r>
    <d v="2022-11-14T00:00:00"/>
    <s v="P0002"/>
    <n v="1"/>
    <x v="2"/>
    <x v="1"/>
    <n v="0"/>
    <x v="29"/>
    <x v="3"/>
    <x v="1"/>
    <n v="105"/>
    <n v="105"/>
    <n v="105"/>
    <n v="105"/>
    <x v="29"/>
    <x v="10"/>
    <x v="1"/>
  </r>
  <r>
    <d v="2022-11-15T00:00:00"/>
    <s v="P0012"/>
    <n v="14"/>
    <x v="2"/>
    <x v="1"/>
    <n v="0"/>
    <x v="35"/>
    <x v="2"/>
    <x v="1"/>
    <n v="73"/>
    <n v="73"/>
    <n v="1022"/>
    <n v="1022"/>
    <x v="17"/>
    <x v="10"/>
    <x v="1"/>
  </r>
  <r>
    <d v="2022-11-16T00:00:00"/>
    <s v="P0017"/>
    <n v="8"/>
    <x v="1"/>
    <x v="0"/>
    <n v="0"/>
    <x v="39"/>
    <x v="2"/>
    <x v="0"/>
    <n v="134"/>
    <n v="134"/>
    <n v="1072"/>
    <n v="1072"/>
    <x v="23"/>
    <x v="10"/>
    <x v="1"/>
  </r>
  <r>
    <d v="2022-11-18T00:00:00"/>
    <s v="P0034"/>
    <n v="8"/>
    <x v="2"/>
    <x v="1"/>
    <n v="0"/>
    <x v="13"/>
    <x v="4"/>
    <x v="2"/>
    <n v="55"/>
    <n v="55"/>
    <n v="440"/>
    <n v="440"/>
    <x v="7"/>
    <x v="10"/>
    <x v="1"/>
  </r>
  <r>
    <d v="2022-11-21T00:00:00"/>
    <s v="P0020"/>
    <n v="6"/>
    <x v="2"/>
    <x v="1"/>
    <n v="0"/>
    <x v="14"/>
    <x v="0"/>
    <x v="2"/>
    <n v="61"/>
    <n v="61"/>
    <n v="366"/>
    <n v="366"/>
    <x v="10"/>
    <x v="10"/>
    <x v="1"/>
  </r>
  <r>
    <d v="2022-11-23T00:00:00"/>
    <s v="P0036"/>
    <n v="12"/>
    <x v="1"/>
    <x v="0"/>
    <n v="0"/>
    <x v="43"/>
    <x v="4"/>
    <x v="1"/>
    <n v="90"/>
    <n v="90"/>
    <n v="1080"/>
    <n v="1080"/>
    <x v="19"/>
    <x v="10"/>
    <x v="1"/>
  </r>
  <r>
    <d v="2022-11-25T00:00:00"/>
    <s v="P0004"/>
    <n v="5"/>
    <x v="2"/>
    <x v="1"/>
    <n v="0"/>
    <x v="3"/>
    <x v="3"/>
    <x v="2"/>
    <n v="44"/>
    <n v="44"/>
    <n v="220"/>
    <n v="220"/>
    <x v="11"/>
    <x v="10"/>
    <x v="1"/>
  </r>
  <r>
    <d v="2022-11-26T00:00:00"/>
    <s v="P0032"/>
    <n v="5"/>
    <x v="2"/>
    <x v="0"/>
    <n v="0"/>
    <x v="18"/>
    <x v="4"/>
    <x v="1"/>
    <n v="89"/>
    <n v="89"/>
    <n v="445"/>
    <n v="445"/>
    <x v="12"/>
    <x v="10"/>
    <x v="1"/>
  </r>
  <r>
    <d v="2022-11-27T00:00:00"/>
    <s v="P0034"/>
    <n v="15"/>
    <x v="2"/>
    <x v="0"/>
    <n v="0"/>
    <x v="13"/>
    <x v="4"/>
    <x v="2"/>
    <n v="55"/>
    <n v="55"/>
    <n v="825"/>
    <n v="825"/>
    <x v="13"/>
    <x v="10"/>
    <x v="1"/>
  </r>
  <r>
    <d v="2022-11-28T00:00:00"/>
    <s v="P0031"/>
    <n v="8"/>
    <x v="2"/>
    <x v="1"/>
    <n v="0"/>
    <x v="5"/>
    <x v="4"/>
    <x v="1"/>
    <n v="93"/>
    <n v="93"/>
    <n v="744"/>
    <n v="744"/>
    <x v="14"/>
    <x v="10"/>
    <x v="1"/>
  </r>
  <r>
    <d v="2022-11-30T00:00:00"/>
    <s v="P0015"/>
    <n v="2"/>
    <x v="2"/>
    <x v="0"/>
    <n v="0"/>
    <x v="27"/>
    <x v="2"/>
    <x v="3"/>
    <n v="12"/>
    <n v="12"/>
    <n v="24"/>
    <n v="24"/>
    <x v="24"/>
    <x v="10"/>
    <x v="1"/>
  </r>
  <r>
    <d v="2022-12-03T00:00:00"/>
    <s v="P0028"/>
    <n v="5"/>
    <x v="0"/>
    <x v="1"/>
    <n v="0"/>
    <x v="33"/>
    <x v="4"/>
    <x v="3"/>
    <n v="37"/>
    <n v="37"/>
    <n v="185"/>
    <n v="185"/>
    <x v="2"/>
    <x v="11"/>
    <x v="1"/>
  </r>
  <r>
    <d v="2022-12-04T00:00:00"/>
    <s v="P0026"/>
    <n v="10"/>
    <x v="2"/>
    <x v="1"/>
    <n v="0"/>
    <x v="42"/>
    <x v="4"/>
    <x v="3"/>
    <n v="18"/>
    <n v="18"/>
    <n v="180"/>
    <n v="180"/>
    <x v="3"/>
    <x v="11"/>
    <x v="1"/>
  </r>
  <r>
    <d v="2022-12-04T00:00:00"/>
    <s v="P0044"/>
    <n v="15"/>
    <x v="2"/>
    <x v="1"/>
    <n v="0"/>
    <x v="11"/>
    <x v="1"/>
    <x v="1"/>
    <n v="76"/>
    <n v="76"/>
    <n v="1140"/>
    <n v="1140"/>
    <x v="3"/>
    <x v="11"/>
    <x v="1"/>
  </r>
  <r>
    <d v="2022-12-07T00:00:00"/>
    <s v="P0038"/>
    <n v="12"/>
    <x v="2"/>
    <x v="1"/>
    <n v="0"/>
    <x v="1"/>
    <x v="1"/>
    <x v="1"/>
    <n v="72"/>
    <n v="72"/>
    <n v="864"/>
    <n v="864"/>
    <x v="20"/>
    <x v="11"/>
    <x v="1"/>
  </r>
  <r>
    <d v="2022-12-07T00:00:00"/>
    <s v="P0016"/>
    <n v="13"/>
    <x v="2"/>
    <x v="0"/>
    <n v="0"/>
    <x v="21"/>
    <x v="2"/>
    <x v="3"/>
    <n v="13"/>
    <n v="13"/>
    <n v="169"/>
    <n v="169"/>
    <x v="20"/>
    <x v="11"/>
    <x v="1"/>
  </r>
  <r>
    <d v="2022-12-07T00:00:00"/>
    <s v="P0038"/>
    <n v="5"/>
    <x v="2"/>
    <x v="1"/>
    <n v="0"/>
    <x v="1"/>
    <x v="1"/>
    <x v="1"/>
    <n v="72"/>
    <n v="72"/>
    <n v="360"/>
    <n v="360"/>
    <x v="20"/>
    <x v="11"/>
    <x v="1"/>
  </r>
  <r>
    <d v="2022-12-11T00:00:00"/>
    <s v="P0027"/>
    <n v="5"/>
    <x v="2"/>
    <x v="0"/>
    <n v="0"/>
    <x v="26"/>
    <x v="4"/>
    <x v="2"/>
    <n v="48"/>
    <n v="48"/>
    <n v="240"/>
    <n v="240"/>
    <x v="5"/>
    <x v="11"/>
    <x v="1"/>
  </r>
  <r>
    <d v="2022-12-11T00:00:00"/>
    <s v="P0013"/>
    <n v="9"/>
    <x v="0"/>
    <x v="0"/>
    <n v="0"/>
    <x v="2"/>
    <x v="2"/>
    <x v="1"/>
    <n v="112"/>
    <n v="112"/>
    <n v="1008"/>
    <n v="1008"/>
    <x v="5"/>
    <x v="11"/>
    <x v="1"/>
  </r>
  <r>
    <d v="2022-12-11T00:00:00"/>
    <s v="P0014"/>
    <n v="10"/>
    <x v="1"/>
    <x v="1"/>
    <n v="0"/>
    <x v="9"/>
    <x v="2"/>
    <x v="1"/>
    <n v="112"/>
    <n v="112"/>
    <n v="1120"/>
    <n v="1120"/>
    <x v="5"/>
    <x v="11"/>
    <x v="1"/>
  </r>
  <r>
    <d v="2022-12-12T00:00:00"/>
    <s v="P0030"/>
    <n v="9"/>
    <x v="0"/>
    <x v="1"/>
    <n v="0"/>
    <x v="28"/>
    <x v="4"/>
    <x v="0"/>
    <n v="148"/>
    <n v="148"/>
    <n v="1332"/>
    <n v="1332"/>
    <x v="6"/>
    <x v="11"/>
    <x v="1"/>
  </r>
  <r>
    <d v="2022-12-12T00:00:00"/>
    <s v="P0041"/>
    <n v="10"/>
    <x v="0"/>
    <x v="0"/>
    <n v="0"/>
    <x v="41"/>
    <x v="1"/>
    <x v="0"/>
    <n v="138"/>
    <n v="138"/>
    <n v="1380"/>
    <n v="1380"/>
    <x v="6"/>
    <x v="11"/>
    <x v="1"/>
  </r>
  <r>
    <d v="2022-12-14T00:00:00"/>
    <s v="P0005"/>
    <n v="4"/>
    <x v="2"/>
    <x v="1"/>
    <n v="0"/>
    <x v="24"/>
    <x v="3"/>
    <x v="0"/>
    <n v="133"/>
    <n v="133"/>
    <n v="532"/>
    <n v="532"/>
    <x v="29"/>
    <x v="11"/>
    <x v="1"/>
  </r>
  <r>
    <d v="2022-12-15T00:00:00"/>
    <s v="P0009"/>
    <n v="13"/>
    <x v="2"/>
    <x v="0"/>
    <n v="0"/>
    <x v="37"/>
    <x v="3"/>
    <x v="3"/>
    <n v="6"/>
    <n v="6"/>
    <n v="78"/>
    <n v="78"/>
    <x v="17"/>
    <x v="11"/>
    <x v="1"/>
  </r>
  <r>
    <d v="2022-12-19T00:00:00"/>
    <s v="P0044"/>
    <n v="7"/>
    <x v="2"/>
    <x v="0"/>
    <n v="0"/>
    <x v="11"/>
    <x v="1"/>
    <x v="1"/>
    <n v="76"/>
    <n v="76"/>
    <n v="532"/>
    <n v="532"/>
    <x v="8"/>
    <x v="11"/>
    <x v="1"/>
  </r>
  <r>
    <d v="2022-12-19T00:00:00"/>
    <s v="P0011"/>
    <n v="14"/>
    <x v="2"/>
    <x v="1"/>
    <n v="0"/>
    <x v="31"/>
    <x v="2"/>
    <x v="2"/>
    <n v="44"/>
    <n v="44"/>
    <n v="616"/>
    <n v="616"/>
    <x v="8"/>
    <x v="11"/>
    <x v="1"/>
  </r>
  <r>
    <d v="2022-12-19T00:00:00"/>
    <s v="P0009"/>
    <n v="11"/>
    <x v="1"/>
    <x v="0"/>
    <n v="0"/>
    <x v="37"/>
    <x v="3"/>
    <x v="3"/>
    <n v="6"/>
    <n v="6"/>
    <n v="66"/>
    <n v="66"/>
    <x v="8"/>
    <x v="11"/>
    <x v="1"/>
  </r>
  <r>
    <d v="2022-12-21T00:00:00"/>
    <s v="P0006"/>
    <n v="10"/>
    <x v="2"/>
    <x v="0"/>
    <n v="0"/>
    <x v="15"/>
    <x v="3"/>
    <x v="1"/>
    <n v="75"/>
    <n v="75"/>
    <n v="750"/>
    <n v="750"/>
    <x v="10"/>
    <x v="11"/>
    <x v="1"/>
  </r>
  <r>
    <d v="2022-12-29T00:00:00"/>
    <s v="P0008"/>
    <n v="15"/>
    <x v="2"/>
    <x v="0"/>
    <n v="0"/>
    <x v="25"/>
    <x v="3"/>
    <x v="1"/>
    <n v="83"/>
    <n v="83"/>
    <n v="1245"/>
    <n v="1245"/>
    <x v="28"/>
    <x v="11"/>
    <x v="1"/>
  </r>
  <r>
    <d v="2022-12-29T00:00:00"/>
    <s v="P0042"/>
    <n v="1"/>
    <x v="0"/>
    <x v="1"/>
    <n v="0"/>
    <x v="10"/>
    <x v="1"/>
    <x v="0"/>
    <n v="120"/>
    <n v="120"/>
    <n v="120"/>
    <n v="120"/>
    <x v="28"/>
    <x v="11"/>
    <x v="1"/>
  </r>
  <r>
    <d v="2022-12-30T00:00:00"/>
    <s v="P0041"/>
    <n v="14"/>
    <x v="2"/>
    <x v="0"/>
    <n v="0"/>
    <x v="41"/>
    <x v="1"/>
    <x v="0"/>
    <n v="138"/>
    <n v="138"/>
    <n v="1932"/>
    <n v="1932"/>
    <x v="24"/>
    <x v="11"/>
    <x v="1"/>
  </r>
  <r>
    <d v="2022-12-31T00:00:00"/>
    <s v="P0033"/>
    <n v="12"/>
    <x v="1"/>
    <x v="0"/>
    <n v="0"/>
    <x v="38"/>
    <x v="4"/>
    <x v="1"/>
    <n v="95"/>
    <n v="95"/>
    <n v="1140"/>
    <n v="1140"/>
    <x v="25"/>
    <x v="11"/>
    <x v="1"/>
  </r>
  <r>
    <d v="2022-12-31T00:00:00"/>
    <s v="P0011"/>
    <n v="6"/>
    <x v="1"/>
    <x v="0"/>
    <n v="0"/>
    <x v="31"/>
    <x v="2"/>
    <x v="2"/>
    <n v="44"/>
    <n v="44"/>
    <n v="264"/>
    <n v="264"/>
    <x v="25"/>
    <x v="11"/>
    <x v="1"/>
  </r>
  <r>
    <d v="2022-12-31T00:00:00"/>
    <s v="P0011"/>
    <n v="3"/>
    <x v="0"/>
    <x v="1"/>
    <n v="0"/>
    <x v="31"/>
    <x v="2"/>
    <x v="2"/>
    <n v="44"/>
    <n v="44"/>
    <n v="132"/>
    <n v="132"/>
    <x v="25"/>
    <x v="11"/>
    <x v="1"/>
  </r>
  <r>
    <m/>
    <m/>
    <m/>
    <x v="3"/>
    <x v="2"/>
    <m/>
    <x v="44"/>
    <x v="5"/>
    <x v="4"/>
    <m/>
    <m/>
    <m/>
    <m/>
    <x v="31"/>
    <x v="12"/>
    <x v="2"/>
  </r>
  <r>
    <m/>
    <m/>
    <m/>
    <x v="3"/>
    <x v="2"/>
    <m/>
    <x v="44"/>
    <x v="5"/>
    <x v="4"/>
    <m/>
    <m/>
    <m/>
    <m/>
    <x v="31"/>
    <x v="12"/>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A4F85D8-0DB0-40D4-AC7B-FC7CB938F80D}" name="PivotTable3" cacheId="3"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G1:I2" firstHeaderRow="0" firstDataRow="1" firstDataCol="1"/>
  <pivotFields count="16">
    <pivotField showAll="0"/>
    <pivotField showAll="0"/>
    <pivotField showAll="0"/>
    <pivotField showAll="0">
      <items count="5">
        <item x="2"/>
        <item x="1"/>
        <item x="0"/>
        <item x="3"/>
        <item t="default"/>
      </items>
    </pivotField>
    <pivotField showAll="0">
      <items count="4">
        <item x="1"/>
        <item x="0"/>
        <item x="2"/>
        <item t="default"/>
      </items>
    </pivotField>
    <pivotField showAll="0"/>
    <pivotField showAll="0"/>
    <pivotField showAll="0"/>
    <pivotField showAll="0"/>
    <pivotField showAll="0"/>
    <pivotField showAll="0"/>
    <pivotField dataField="1" showAll="0"/>
    <pivotField dataField="1" showAll="0"/>
    <pivotField showAll="0"/>
    <pivotField axis="axisRow" showAll="0">
      <items count="14">
        <item x="0"/>
        <item h="1" x="1"/>
        <item h="1" x="2"/>
        <item h="1" x="3"/>
        <item h="1" x="4"/>
        <item h="1" x="5"/>
        <item h="1" x="6"/>
        <item h="1" x="7"/>
        <item h="1" x="8"/>
        <item h="1" x="9"/>
        <item h="1" x="10"/>
        <item h="1" x="11"/>
        <item h="1" x="12"/>
        <item t="default"/>
      </items>
    </pivotField>
    <pivotField showAll="0">
      <items count="4">
        <item x="0"/>
        <item h="1" x="1"/>
        <item h="1" x="2"/>
        <item t="default"/>
      </items>
    </pivotField>
  </pivotFields>
  <rowFields count="1">
    <field x="14"/>
  </rowFields>
  <rowItems count="1">
    <i>
      <x/>
    </i>
  </rowItems>
  <colFields count="1">
    <field x="-2"/>
  </colFields>
  <colItems count="2">
    <i>
      <x/>
    </i>
    <i i="1">
      <x v="1"/>
    </i>
  </colItems>
  <dataFields count="2">
    <dataField name="Sum of Total Buying Value" fld="11" baseField="0" baseItem="0"/>
    <dataField name="Sum of Total Selling Value" fld="12" baseField="0" baseItem="0"/>
  </dataFields>
  <formats count="1">
    <format dxfId="4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EEA83BA-C048-440C-9174-E4FA27C3D8D8}" name="PivotTable1" cacheId="3"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9">
  <location ref="A1:B16" firstHeaderRow="1" firstDataRow="1" firstDataCol="1"/>
  <pivotFields count="16">
    <pivotField showAll="0"/>
    <pivotField showAll="0"/>
    <pivotField showAll="0"/>
    <pivotField showAll="0">
      <items count="5">
        <item x="2"/>
        <item x="1"/>
        <item x="0"/>
        <item x="3"/>
        <item t="default"/>
      </items>
    </pivotField>
    <pivotField showAll="0">
      <items count="4">
        <item x="1"/>
        <item x="0"/>
        <item x="2"/>
        <item t="default"/>
      </items>
    </pivotField>
    <pivotField showAll="0"/>
    <pivotField showAll="0"/>
    <pivotField showAll="0"/>
    <pivotField showAll="0"/>
    <pivotField showAll="0"/>
    <pivotField showAll="0"/>
    <pivotField showAll="0"/>
    <pivotField dataField="1" showAll="0"/>
    <pivotField axis="axisRow" showAll="0">
      <items count="33">
        <item x="0"/>
        <item x="1"/>
        <item x="2"/>
        <item x="3"/>
        <item x="15"/>
        <item x="16"/>
        <item x="20"/>
        <item x="21"/>
        <item x="4"/>
        <item x="26"/>
        <item x="5"/>
        <item x="6"/>
        <item x="22"/>
        <item x="29"/>
        <item x="17"/>
        <item x="23"/>
        <item x="30"/>
        <item x="7"/>
        <item x="8"/>
        <item x="9"/>
        <item x="10"/>
        <item x="18"/>
        <item x="19"/>
        <item x="27"/>
        <item x="11"/>
        <item x="12"/>
        <item x="13"/>
        <item x="14"/>
        <item x="28"/>
        <item x="24"/>
        <item x="25"/>
        <item h="1" x="31"/>
        <item t="default"/>
      </items>
    </pivotField>
    <pivotField showAll="0">
      <items count="14">
        <item x="0"/>
        <item h="1" x="1"/>
        <item h="1" x="2"/>
        <item h="1" x="3"/>
        <item h="1" x="4"/>
        <item h="1" x="5"/>
        <item h="1" x="6"/>
        <item h="1" x="7"/>
        <item h="1" x="8"/>
        <item h="1" x="9"/>
        <item h="1" x="10"/>
        <item h="1" x="11"/>
        <item h="1" x="12"/>
        <item t="default"/>
      </items>
    </pivotField>
    <pivotField showAll="0">
      <items count="4">
        <item x="0"/>
        <item h="1" x="1"/>
        <item h="1" x="2"/>
        <item t="default"/>
      </items>
    </pivotField>
  </pivotFields>
  <rowFields count="1">
    <field x="13"/>
  </rowFields>
  <rowItems count="15">
    <i>
      <x/>
    </i>
    <i>
      <x v="1"/>
    </i>
    <i>
      <x v="2"/>
    </i>
    <i>
      <x v="3"/>
    </i>
    <i>
      <x v="8"/>
    </i>
    <i>
      <x v="10"/>
    </i>
    <i>
      <x v="11"/>
    </i>
    <i>
      <x v="17"/>
    </i>
    <i>
      <x v="18"/>
    </i>
    <i>
      <x v="19"/>
    </i>
    <i>
      <x v="20"/>
    </i>
    <i>
      <x v="24"/>
    </i>
    <i>
      <x v="25"/>
    </i>
    <i>
      <x v="26"/>
    </i>
    <i>
      <x v="27"/>
    </i>
  </rowItems>
  <colItems count="1">
    <i/>
  </colItems>
  <dataFields count="1">
    <dataField name="Sum of Total Selling Value" fld="12" baseField="0" baseItem="0" numFmtId="165"/>
  </dataFields>
  <formats count="2">
    <format dxfId="47">
      <pivotArea dataOnly="0" outline="0" axis="axisValues" fieldPosition="0"/>
    </format>
    <format dxfId="46">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2AAE2D5-01BD-42DC-9745-38DA63718D56}" name="SalesType" cacheId="3"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3">
  <location ref="AK1:AL4" firstHeaderRow="1" firstDataRow="1" firstDataCol="1"/>
  <pivotFields count="16">
    <pivotField showAll="0"/>
    <pivotField showAll="0"/>
    <pivotField showAll="0"/>
    <pivotField axis="axisRow" showAll="0">
      <items count="5">
        <item x="2"/>
        <item x="1"/>
        <item x="0"/>
        <item h="1" x="3"/>
        <item t="default"/>
      </items>
    </pivotField>
    <pivotField showAll="0">
      <items count="4">
        <item x="1"/>
        <item x="0"/>
        <item x="2"/>
        <item t="default"/>
      </items>
    </pivotField>
    <pivotField showAll="0"/>
    <pivotField showAll="0"/>
    <pivotField showAll="0"/>
    <pivotField showAll="0"/>
    <pivotField showAll="0"/>
    <pivotField showAll="0"/>
    <pivotField showAll="0"/>
    <pivotField dataField="1" showAll="0"/>
    <pivotField showAll="0"/>
    <pivotField showAll="0">
      <items count="14">
        <item x="0"/>
        <item h="1" x="1"/>
        <item h="1" x="2"/>
        <item h="1" x="3"/>
        <item h="1" x="4"/>
        <item h="1" x="5"/>
        <item h="1" x="6"/>
        <item h="1" x="7"/>
        <item h="1" x="8"/>
        <item h="1" x="9"/>
        <item h="1" x="10"/>
        <item h="1" x="11"/>
        <item h="1" x="12"/>
        <item t="default"/>
      </items>
    </pivotField>
    <pivotField showAll="0">
      <items count="4">
        <item x="0"/>
        <item h="1" x="1"/>
        <item h="1" x="2"/>
        <item t="default"/>
      </items>
    </pivotField>
  </pivotFields>
  <rowFields count="1">
    <field x="3"/>
  </rowFields>
  <rowItems count="3">
    <i>
      <x/>
    </i>
    <i>
      <x v="1"/>
    </i>
    <i>
      <x v="2"/>
    </i>
  </rowItems>
  <colItems count="1">
    <i/>
  </colItems>
  <dataFields count="1">
    <dataField name="Sum of Total Selling Value" fld="12" baseField="0" baseItem="0"/>
  </dataFields>
  <formats count="1">
    <format dxfId="48">
      <pivotArea dataOnly="0" labelOnly="1" outline="0" axis="axisValues" fieldPosition="0"/>
    </format>
  </formats>
  <chartFormats count="4">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3" count="1" selected="0">
            <x v="0"/>
          </reference>
        </references>
      </pivotArea>
    </chartFormat>
    <chartFormat chart="1" format="2">
      <pivotArea type="data" outline="0" fieldPosition="0">
        <references count="2">
          <reference field="4294967294" count="1" selected="0">
            <x v="0"/>
          </reference>
          <reference field="3" count="1" selected="0">
            <x v="1"/>
          </reference>
        </references>
      </pivotArea>
    </chartFormat>
    <chartFormat chart="1" format="3">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DF25123-1B1B-49A2-AB3A-66ACA8D4F611}" name="CategoryWise1" cacheId="3"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C1:AD6" firstHeaderRow="1" firstDataRow="1" firstDataCol="1"/>
  <pivotFields count="16">
    <pivotField showAll="0"/>
    <pivotField showAll="0"/>
    <pivotField showAll="0"/>
    <pivotField showAll="0">
      <items count="5">
        <item x="2"/>
        <item x="1"/>
        <item x="0"/>
        <item x="3"/>
        <item t="default"/>
      </items>
    </pivotField>
    <pivotField showAll="0">
      <items count="4">
        <item x="1"/>
        <item x="0"/>
        <item x="2"/>
        <item t="default"/>
      </items>
    </pivotField>
    <pivotField showAll="0"/>
    <pivotField showAll="0"/>
    <pivotField axis="axisRow" showAll="0">
      <items count="7">
        <item x="3"/>
        <item x="2"/>
        <item x="0"/>
        <item x="4"/>
        <item x="1"/>
        <item h="1" x="5"/>
        <item t="default"/>
      </items>
    </pivotField>
    <pivotField showAll="0"/>
    <pivotField showAll="0"/>
    <pivotField showAll="0"/>
    <pivotField showAll="0"/>
    <pivotField dataField="1" showAll="0"/>
    <pivotField showAll="0"/>
    <pivotField showAll="0">
      <items count="14">
        <item x="0"/>
        <item h="1" x="1"/>
        <item h="1" x="2"/>
        <item h="1" x="3"/>
        <item h="1" x="4"/>
        <item h="1" x="5"/>
        <item h="1" x="6"/>
        <item h="1" x="7"/>
        <item h="1" x="8"/>
        <item h="1" x="9"/>
        <item h="1" x="10"/>
        <item h="1" x="11"/>
        <item h="1" x="12"/>
        <item t="default"/>
      </items>
    </pivotField>
    <pivotField showAll="0">
      <items count="4">
        <item x="0"/>
        <item h="1" x="1"/>
        <item h="1" x="2"/>
        <item t="default"/>
      </items>
    </pivotField>
  </pivotFields>
  <rowFields count="1">
    <field x="7"/>
  </rowFields>
  <rowItems count="5">
    <i>
      <x/>
    </i>
    <i>
      <x v="1"/>
    </i>
    <i>
      <x v="2"/>
    </i>
    <i>
      <x v="3"/>
    </i>
    <i>
      <x v="4"/>
    </i>
  </rowItems>
  <colItems count="1">
    <i/>
  </colItems>
  <dataFields count="1">
    <dataField name="Sum of Total Selling Value" fld="12" baseField="0" baseItem="0"/>
  </dataFields>
  <formats count="1">
    <format dxfId="4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B306D96-76D4-4AE6-87DD-B44FB7484A44}" name="PaymentMode" cacheId="3"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1">
  <location ref="AN1:AO3" firstHeaderRow="1" firstDataRow="1" firstDataCol="1"/>
  <pivotFields count="16">
    <pivotField showAll="0"/>
    <pivotField showAll="0"/>
    <pivotField showAll="0"/>
    <pivotField showAll="0">
      <items count="5">
        <item x="2"/>
        <item x="1"/>
        <item x="0"/>
        <item x="3"/>
        <item t="default"/>
      </items>
    </pivotField>
    <pivotField axis="axisRow" showAll="0">
      <items count="4">
        <item x="1"/>
        <item x="0"/>
        <item h="1" x="2"/>
        <item t="default"/>
      </items>
    </pivotField>
    <pivotField showAll="0"/>
    <pivotField showAll="0"/>
    <pivotField showAll="0"/>
    <pivotField showAll="0"/>
    <pivotField showAll="0"/>
    <pivotField showAll="0"/>
    <pivotField showAll="0"/>
    <pivotField dataField="1" showAll="0"/>
    <pivotField showAll="0"/>
    <pivotField showAll="0">
      <items count="14">
        <item x="0"/>
        <item h="1" x="1"/>
        <item h="1" x="2"/>
        <item h="1" x="3"/>
        <item h="1" x="4"/>
        <item h="1" x="5"/>
        <item h="1" x="6"/>
        <item h="1" x="7"/>
        <item h="1" x="8"/>
        <item h="1" x="9"/>
        <item h="1" x="10"/>
        <item h="1" x="11"/>
        <item h="1" x="12"/>
        <item t="default"/>
      </items>
    </pivotField>
    <pivotField showAll="0">
      <items count="4">
        <item x="0"/>
        <item h="1" x="1"/>
        <item h="1" x="2"/>
        <item t="default"/>
      </items>
    </pivotField>
  </pivotFields>
  <rowFields count="1">
    <field x="4"/>
  </rowFields>
  <rowItems count="2">
    <i>
      <x/>
    </i>
    <i>
      <x v="1"/>
    </i>
  </rowItems>
  <colItems count="1">
    <i/>
  </colItems>
  <dataFields count="1">
    <dataField name="Sum of Total Selling Value" fld="12" baseField="0" baseItem="0"/>
  </dataFields>
  <formats count="1">
    <format dxfId="50">
      <pivotArea dataOnly="0" labelOnly="1" outline="0" axis="axisValues" fieldPosition="0"/>
    </format>
  </formats>
  <chartFormats count="3">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4" count="1" selected="0">
            <x v="0"/>
          </reference>
        </references>
      </pivotArea>
    </chartFormat>
    <chartFormat chart="7" format="2">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200A056-A29E-4A33-85F1-6C00E42BB040}" name="Productwise" cacheId="3"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P1:R21" firstHeaderRow="0" firstDataRow="1" firstDataCol="1"/>
  <pivotFields count="16">
    <pivotField showAll="0"/>
    <pivotField showAll="0"/>
    <pivotField dataField="1" showAll="0"/>
    <pivotField showAll="0">
      <items count="5">
        <item x="2"/>
        <item x="1"/>
        <item x="0"/>
        <item x="3"/>
        <item t="default"/>
      </items>
    </pivotField>
    <pivotField showAll="0">
      <items count="4">
        <item x="1"/>
        <item x="0"/>
        <item x="2"/>
        <item t="default"/>
      </items>
    </pivotField>
    <pivotField showAll="0"/>
    <pivotField axis="axisRow" showAll="0" defaultSubtotal="0">
      <items count="45">
        <item sd="0" x="16"/>
        <item sd="0" x="29"/>
        <item sd="0" x="6"/>
        <item sd="0" x="3"/>
        <item sd="0" x="24"/>
        <item sd="0" x="15"/>
        <item sd="0" x="36"/>
        <item sd="0" x="25"/>
        <item sd="0" x="37"/>
        <item sd="0" x="20"/>
        <item sd="0" x="31"/>
        <item sd="0" x="35"/>
        <item sd="0" x="2"/>
        <item sd="0" x="9"/>
        <item sd="0" x="27"/>
        <item sd="0" x="21"/>
        <item sd="0" x="39"/>
        <item sd="0" x="30"/>
        <item sd="0" x="40"/>
        <item sd="0" x="14"/>
        <item sd="0" x="32"/>
        <item sd="0" x="22"/>
        <item sd="0" x="12"/>
        <item sd="0" x="0"/>
        <item sd="0" x="7"/>
        <item sd="0" x="42"/>
        <item sd="0" x="26"/>
        <item sd="0" x="33"/>
        <item sd="0" x="19"/>
        <item sd="0" x="28"/>
        <item sd="0" x="5"/>
        <item sd="0" x="18"/>
        <item sd="0" x="38"/>
        <item sd="0" x="13"/>
        <item sd="0" x="4"/>
        <item sd="0" x="43"/>
        <item sd="0" x="8"/>
        <item sd="0" x="1"/>
        <item sd="0" x="34"/>
        <item sd="0" x="17"/>
        <item sd="0" x="41"/>
        <item sd="0" x="10"/>
        <item sd="0" x="23"/>
        <item sd="0" x="11"/>
        <item h="1" x="44"/>
      </items>
    </pivotField>
    <pivotField showAll="0"/>
    <pivotField axis="axisRow" showAll="0">
      <items count="6">
        <item x="0"/>
        <item x="1"/>
        <item x="2"/>
        <item x="3"/>
        <item h="1" x="4"/>
        <item t="default"/>
      </items>
    </pivotField>
    <pivotField showAll="0"/>
    <pivotField showAll="0"/>
    <pivotField showAll="0"/>
    <pivotField dataField="1" showAll="0"/>
    <pivotField showAll="0"/>
    <pivotField showAll="0">
      <items count="14">
        <item x="0"/>
        <item h="1" x="1"/>
        <item h="1" x="2"/>
        <item h="1" x="3"/>
        <item h="1" x="4"/>
        <item h="1" x="5"/>
        <item h="1" x="6"/>
        <item h="1" x="7"/>
        <item h="1" x="8"/>
        <item h="1" x="9"/>
        <item h="1" x="10"/>
        <item h="1" x="11"/>
        <item h="1" x="12"/>
        <item t="default"/>
      </items>
    </pivotField>
    <pivotField showAll="0">
      <items count="4">
        <item x="0"/>
        <item h="1" x="1"/>
        <item h="1" x="2"/>
        <item t="default"/>
      </items>
    </pivotField>
  </pivotFields>
  <rowFields count="2">
    <field x="6"/>
    <field x="8"/>
  </rowFields>
  <rowItems count="20">
    <i>
      <x/>
    </i>
    <i>
      <x v="2"/>
    </i>
    <i>
      <x v="3"/>
    </i>
    <i>
      <x v="5"/>
    </i>
    <i>
      <x v="12"/>
    </i>
    <i>
      <x v="13"/>
    </i>
    <i>
      <x v="19"/>
    </i>
    <i>
      <x v="22"/>
    </i>
    <i>
      <x v="23"/>
    </i>
    <i>
      <x v="24"/>
    </i>
    <i>
      <x v="28"/>
    </i>
    <i>
      <x v="30"/>
    </i>
    <i>
      <x v="31"/>
    </i>
    <i>
      <x v="33"/>
    </i>
    <i>
      <x v="34"/>
    </i>
    <i>
      <x v="36"/>
    </i>
    <i>
      <x v="37"/>
    </i>
    <i>
      <x v="39"/>
    </i>
    <i>
      <x v="41"/>
    </i>
    <i>
      <x v="43"/>
    </i>
  </rowItems>
  <colFields count="1">
    <field x="-2"/>
  </colFields>
  <colItems count="2">
    <i>
      <x/>
    </i>
    <i i="1">
      <x v="1"/>
    </i>
  </colItems>
  <dataFields count="2">
    <dataField name="Sum of Total Selling Value" fld="12" baseField="0" baseItem="0"/>
    <dataField name="Sum of QUANTITY" fld="2" baseField="0" baseItem="0"/>
  </dataFields>
  <formats count="1">
    <format dxfId="5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ACF6D66-3D4C-4933-882E-B4AE9F2D539D}" name="TotalSales"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E2" firstHeaderRow="0" firstDataRow="1" firstDataCol="0"/>
  <pivotFields count="16">
    <pivotField showAll="0"/>
    <pivotField showAll="0"/>
    <pivotField showAll="0"/>
    <pivotField showAll="0">
      <items count="5">
        <item x="2"/>
        <item x="1"/>
        <item x="0"/>
        <item x="3"/>
        <item t="default"/>
      </items>
    </pivotField>
    <pivotField showAll="0">
      <items count="4">
        <item x="1"/>
        <item x="0"/>
        <item x="2"/>
        <item t="default"/>
      </items>
    </pivotField>
    <pivotField showAll="0"/>
    <pivotField showAll="0"/>
    <pivotField showAll="0"/>
    <pivotField showAll="0"/>
    <pivotField showAll="0"/>
    <pivotField showAll="0"/>
    <pivotField dataField="1" showAll="0"/>
    <pivotField dataField="1" showAll="0"/>
    <pivotField showAll="0"/>
    <pivotField showAll="0">
      <items count="14">
        <item x="0"/>
        <item h="1" x="1"/>
        <item h="1" x="2"/>
        <item h="1" x="3"/>
        <item h="1" x="4"/>
        <item h="1" x="5"/>
        <item h="1" x="6"/>
        <item h="1" x="7"/>
        <item h="1" x="8"/>
        <item h="1" x="9"/>
        <item h="1" x="10"/>
        <item h="1" x="11"/>
        <item h="1" x="12"/>
        <item t="default"/>
      </items>
    </pivotField>
    <pivotField showAll="0">
      <items count="4">
        <item x="0"/>
        <item h="1" x="1"/>
        <item h="1" x="2"/>
        <item t="default"/>
      </items>
    </pivotField>
  </pivotFields>
  <rowItems count="1">
    <i/>
  </rowItems>
  <colFields count="1">
    <field x="-2"/>
  </colFields>
  <colItems count="2">
    <i>
      <x/>
    </i>
    <i i="1">
      <x v="1"/>
    </i>
  </colItems>
  <dataFields count="2">
    <dataField name="Sum of Total Buying Value" fld="11" baseField="0" baseItem="0"/>
    <dataField name="Sum of Total Selling Value" fld="12" baseField="0" baseItem="0"/>
  </dataFields>
  <formats count="1">
    <format dxfId="5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111D613-D129-4844-B9C7-909CEB2D9613}"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E49" firstHeaderRow="1" firstDataRow="2" firstDataCol="1" rowPageCount="1" colPageCount="1"/>
  <pivotFields count="19">
    <pivotField axis="axisPage" numFmtId="14" showAll="0">
      <items count="3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t="default"/>
      </items>
    </pivotField>
    <pivotField axis="axisRow" showAll="0">
      <items count="45">
        <item x="16"/>
        <item x="29"/>
        <item x="6"/>
        <item x="3"/>
        <item x="24"/>
        <item x="15"/>
        <item x="36"/>
        <item x="25"/>
        <item x="37"/>
        <item x="20"/>
        <item x="31"/>
        <item x="35"/>
        <item x="2"/>
        <item x="9"/>
        <item x="27"/>
        <item x="21"/>
        <item x="39"/>
        <item x="30"/>
        <item x="40"/>
        <item x="14"/>
        <item x="32"/>
        <item x="22"/>
        <item x="12"/>
        <item x="0"/>
        <item x="7"/>
        <item x="42"/>
        <item x="26"/>
        <item x="33"/>
        <item x="19"/>
        <item x="28"/>
        <item x="5"/>
        <item x="18"/>
        <item x="38"/>
        <item x="13"/>
        <item x="4"/>
        <item x="43"/>
        <item x="8"/>
        <item x="1"/>
        <item x="34"/>
        <item x="17"/>
        <item x="41"/>
        <item x="10"/>
        <item x="23"/>
        <item x="11"/>
        <item t="default"/>
      </items>
    </pivotField>
    <pivotField dataField="1" showAll="0"/>
    <pivotField axis="axisCol" showAll="0">
      <items count="4">
        <item x="2"/>
        <item x="1"/>
        <item x="0"/>
        <item t="default"/>
      </items>
    </pivotField>
    <pivotField showAll="0"/>
    <pivotField numFmtId="164" showAll="0"/>
    <pivotField showAll="0"/>
    <pivotField showAll="0"/>
    <pivotField showAll="0"/>
    <pivotField numFmtId="165" showAll="0"/>
    <pivotField numFmtId="165" showAll="0"/>
    <pivotField numFmtId="165" showAll="0"/>
    <pivotField numFmtId="165" showAll="0"/>
    <pivotField showAll="0"/>
    <pivotField showAll="0"/>
    <pivotField showAll="0">
      <items count="3">
        <item x="0"/>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
  </rowFields>
  <rowItems count="4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t="grand">
      <x/>
    </i>
  </rowItems>
  <colFields count="1">
    <field x="3"/>
  </colFields>
  <colItems count="4">
    <i>
      <x/>
    </i>
    <i>
      <x v="1"/>
    </i>
    <i>
      <x v="2"/>
    </i>
    <i t="grand">
      <x/>
    </i>
  </colItems>
  <pageFields count="1">
    <pageField fld="0" hier="-1"/>
  </pageFields>
  <dataFields count="1">
    <dataField name="Sum of QUANTITY" fld="2" baseField="0" baseItem="0"/>
  </dataFields>
  <chartFormats count="6">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2" format="6" series="1">
      <pivotArea type="data" outline="0" fieldPosition="0">
        <references count="2">
          <reference field="4294967294" count="1" selected="0">
            <x v="0"/>
          </reference>
          <reference field="3" count="1" selected="0">
            <x v="0"/>
          </reference>
        </references>
      </pivotArea>
    </chartFormat>
    <chartFormat chart="2" format="7" series="1">
      <pivotArea type="data" outline="0" fieldPosition="0">
        <references count="2">
          <reference field="4294967294" count="1" selected="0">
            <x v="0"/>
          </reference>
          <reference field="3" count="1" selected="0">
            <x v="1"/>
          </reference>
        </references>
      </pivotArea>
    </chartFormat>
    <chartFormat chart="2" format="8" series="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C8301A5-A045-4B01-8004-41B72BB71626}"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7" firstHeaderRow="1" firstDataRow="1" firstDataCol="1"/>
  <pivotFields count="19">
    <pivotField numFmtId="14" showAll="0">
      <items count="3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t="default"/>
      </items>
    </pivotField>
    <pivotField showAll="0"/>
    <pivotField dataField="1" showAll="0"/>
    <pivotField axis="axisRow" showAll="0">
      <items count="4">
        <item x="2"/>
        <item x="1"/>
        <item x="0"/>
        <item t="default"/>
      </items>
    </pivotField>
    <pivotField showAll="0"/>
    <pivotField numFmtId="164" showAll="0"/>
    <pivotField showAll="0"/>
    <pivotField showAll="0"/>
    <pivotField showAll="0"/>
    <pivotField numFmtId="165" showAll="0"/>
    <pivotField numFmtId="165" showAll="0"/>
    <pivotField numFmtId="165" showAll="0"/>
    <pivotField numFmtId="165"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4">
    <i>
      <x/>
    </i>
    <i>
      <x v="1"/>
    </i>
    <i>
      <x v="2"/>
    </i>
    <i t="grand">
      <x/>
    </i>
  </rowItems>
  <colItems count="1">
    <i/>
  </colItems>
  <dataFields count="1">
    <dataField name="Sum of QUANTITY" fld="2" baseField="0" baseItem="0"/>
  </dataFields>
  <chartFormats count="5">
    <chartFormat chart="1"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3" count="1" selected="0">
            <x v="0"/>
          </reference>
        </references>
      </pivotArea>
    </chartFormat>
    <chartFormat chart="5" format="7">
      <pivotArea type="data" outline="0" fieldPosition="0">
        <references count="2">
          <reference field="4294967294" count="1" selected="0">
            <x v="0"/>
          </reference>
          <reference field="3" count="1" selected="0">
            <x v="1"/>
          </reference>
        </references>
      </pivotArea>
    </chartFormat>
    <chartFormat chart="5" format="8">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A91993F-7451-4246-AC5C-7C9840FFA872}"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6" firstHeaderRow="1" firstDataRow="1" firstDataCol="1"/>
  <pivotFields count="19">
    <pivotField axis="axisRow" numFmtId="14" showAll="0">
      <items count="3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t="default"/>
      </items>
    </pivotField>
    <pivotField showAll="0"/>
    <pivotField dataField="1" showAll="0"/>
    <pivotField showAll="0">
      <items count="4">
        <item h="1" x="2"/>
        <item h="1" x="1"/>
        <item x="0"/>
        <item t="default"/>
      </items>
    </pivotField>
    <pivotField showAll="0"/>
    <pivotField numFmtId="164" showAll="0"/>
    <pivotField showAll="0"/>
    <pivotField showAll="0"/>
    <pivotField showAll="0"/>
    <pivotField numFmtId="165" showAll="0"/>
    <pivotField numFmtId="165" showAll="0"/>
    <pivotField numFmtId="165" showAll="0"/>
    <pivotField numFmtId="165"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4">
    <field x="18"/>
    <field x="17"/>
    <field x="16"/>
    <field x="0"/>
  </rowFields>
  <rowItems count="3">
    <i>
      <x v="1"/>
    </i>
    <i>
      <x v="2"/>
    </i>
    <i t="grand">
      <x/>
    </i>
  </rowItems>
  <colItems count="1">
    <i/>
  </colItems>
  <dataFields count="1">
    <dataField name="Sum of QUANTITY" fld="2"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0CDCE88-FADF-40F5-BBF8-94646F05BBBD}"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6" firstHeaderRow="1" firstDataRow="1" firstDataCol="1"/>
  <pivotFields count="19">
    <pivotField numFmtId="14" showAll="0">
      <items count="3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t="default"/>
      </items>
    </pivotField>
    <pivotField showAll="0"/>
    <pivotField showAll="0">
      <items count="16">
        <item x="5"/>
        <item x="13"/>
        <item x="8"/>
        <item x="7"/>
        <item x="3"/>
        <item x="2"/>
        <item x="11"/>
        <item x="6"/>
        <item x="0"/>
        <item x="9"/>
        <item x="14"/>
        <item x="4"/>
        <item x="10"/>
        <item x="12"/>
        <item x="1"/>
        <item t="default"/>
      </items>
    </pivotField>
    <pivotField showAll="0"/>
    <pivotField axis="axisRow" dataField="1" showAll="0">
      <items count="3">
        <item x="1"/>
        <item x="0"/>
        <item t="default"/>
      </items>
    </pivotField>
    <pivotField numFmtId="164" showAll="0"/>
    <pivotField showAll="0">
      <items count="45">
        <item x="16"/>
        <item x="29"/>
        <item x="6"/>
        <item x="3"/>
        <item x="24"/>
        <item x="15"/>
        <item x="36"/>
        <item x="25"/>
        <item x="37"/>
        <item x="20"/>
        <item x="31"/>
        <item x="35"/>
        <item x="2"/>
        <item x="9"/>
        <item x="27"/>
        <item x="21"/>
        <item x="39"/>
        <item x="30"/>
        <item x="40"/>
        <item x="14"/>
        <item x="32"/>
        <item x="22"/>
        <item x="12"/>
        <item x="0"/>
        <item x="7"/>
        <item x="42"/>
        <item x="26"/>
        <item x="33"/>
        <item x="19"/>
        <item x="28"/>
        <item x="5"/>
        <item x="18"/>
        <item x="38"/>
        <item x="13"/>
        <item x="4"/>
        <item x="43"/>
        <item x="8"/>
        <item x="1"/>
        <item x="34"/>
        <item x="17"/>
        <item x="41"/>
        <item x="10"/>
        <item x="23"/>
        <item x="11"/>
        <item t="default"/>
      </items>
    </pivotField>
    <pivotField showAll="0"/>
    <pivotField showAll="0"/>
    <pivotField numFmtId="165" showAll="0"/>
    <pivotField numFmtId="165" showAll="0"/>
    <pivotField numFmtId="165" showAll="0">
      <items count="290">
        <item x="36"/>
        <item x="164"/>
        <item x="110"/>
        <item x="252"/>
        <item x="44"/>
        <item x="118"/>
        <item x="274"/>
        <item x="212"/>
        <item x="7"/>
        <item x="14"/>
        <item x="20"/>
        <item x="90"/>
        <item x="91"/>
        <item x="92"/>
        <item x="113"/>
        <item x="50"/>
        <item x="84"/>
        <item x="226"/>
        <item x="245"/>
        <item x="101"/>
        <item x="111"/>
        <item x="73"/>
        <item x="141"/>
        <item x="4"/>
        <item x="288"/>
        <item x="129"/>
        <item x="106"/>
        <item x="210"/>
        <item x="41"/>
        <item x="219"/>
        <item x="93"/>
        <item x="54"/>
        <item x="88"/>
        <item x="167"/>
        <item x="255"/>
        <item x="209"/>
        <item x="145"/>
        <item x="264"/>
        <item x="108"/>
        <item x="5"/>
        <item x="28"/>
        <item x="187"/>
        <item x="221"/>
        <item x="261"/>
        <item x="158"/>
        <item x="176"/>
        <item x="85"/>
        <item x="173"/>
        <item x="253"/>
        <item x="68"/>
        <item x="186"/>
        <item x="216"/>
        <item x="256"/>
        <item x="175"/>
        <item x="165"/>
        <item x="34"/>
        <item x="182"/>
        <item x="179"/>
        <item x="196"/>
        <item x="66"/>
        <item x="138"/>
        <item x="119"/>
        <item x="249"/>
        <item x="87"/>
        <item x="86"/>
        <item x="30"/>
        <item x="188"/>
        <item x="153"/>
        <item x="218"/>
        <item x="260"/>
        <item x="77"/>
        <item x="40"/>
        <item x="204"/>
        <item x="140"/>
        <item x="8"/>
        <item x="214"/>
        <item x="134"/>
        <item x="267"/>
        <item x="3"/>
        <item x="200"/>
        <item x="208"/>
        <item x="94"/>
        <item x="31"/>
        <item x="15"/>
        <item x="115"/>
        <item x="60"/>
        <item x="166"/>
        <item x="45"/>
        <item x="26"/>
        <item x="32"/>
        <item x="272"/>
        <item x="246"/>
        <item x="53"/>
        <item x="239"/>
        <item x="52"/>
        <item x="62"/>
        <item x="48"/>
        <item x="64"/>
        <item x="244"/>
        <item x="146"/>
        <item x="231"/>
        <item x="162"/>
        <item x="215"/>
        <item x="19"/>
        <item x="58"/>
        <item x="122"/>
        <item x="71"/>
        <item x="241"/>
        <item x="72"/>
        <item x="229"/>
        <item x="282"/>
        <item x="55"/>
        <item x="155"/>
        <item x="65"/>
        <item x="159"/>
        <item x="225"/>
        <item x="67"/>
        <item x="220"/>
        <item x="75"/>
        <item x="80"/>
        <item x="49"/>
        <item x="236"/>
        <item x="46"/>
        <item x="13"/>
        <item x="152"/>
        <item x="78"/>
        <item x="203"/>
        <item x="27"/>
        <item x="70"/>
        <item x="283"/>
        <item x="9"/>
        <item x="132"/>
        <item x="211"/>
        <item x="33"/>
        <item x="10"/>
        <item x="137"/>
        <item x="103"/>
        <item x="98"/>
        <item x="223"/>
        <item x="205"/>
        <item x="128"/>
        <item x="23"/>
        <item x="237"/>
        <item x="130"/>
        <item x="124"/>
        <item x="81"/>
        <item x="43"/>
        <item x="133"/>
        <item x="6"/>
        <item x="102"/>
        <item x="112"/>
        <item x="233"/>
        <item x="38"/>
        <item x="174"/>
        <item x="149"/>
        <item x="35"/>
        <item x="224"/>
        <item x="189"/>
        <item x="25"/>
        <item x="17"/>
        <item x="171"/>
        <item x="82"/>
        <item x="184"/>
        <item x="16"/>
        <item x="259"/>
        <item x="275"/>
        <item x="2"/>
        <item x="22"/>
        <item x="24"/>
        <item x="109"/>
        <item x="123"/>
        <item x="251"/>
        <item x="266"/>
        <item x="268"/>
        <item x="18"/>
        <item x="99"/>
        <item x="234"/>
        <item x="285"/>
        <item x="192"/>
        <item x="107"/>
        <item x="168"/>
        <item x="131"/>
        <item x="37"/>
        <item x="193"/>
        <item x="121"/>
        <item x="59"/>
        <item x="213"/>
        <item x="242"/>
        <item x="284"/>
        <item x="105"/>
        <item x="270"/>
        <item x="258"/>
        <item x="136"/>
        <item x="61"/>
        <item x="197"/>
        <item x="227"/>
        <item x="238"/>
        <item x="116"/>
        <item x="286"/>
        <item x="277"/>
        <item x="265"/>
        <item x="148"/>
        <item x="147"/>
        <item x="177"/>
        <item x="170"/>
        <item x="269"/>
        <item x="172"/>
        <item x="135"/>
        <item x="250"/>
        <item x="217"/>
        <item x="57"/>
        <item x="150"/>
        <item x="180"/>
        <item x="47"/>
        <item x="263"/>
        <item x="12"/>
        <item x="95"/>
        <item x="142"/>
        <item x="207"/>
        <item x="154"/>
        <item x="56"/>
        <item x="29"/>
        <item x="248"/>
        <item x="178"/>
        <item x="104"/>
        <item x="281"/>
        <item x="126"/>
        <item x="1"/>
        <item x="273"/>
        <item x="143"/>
        <item x="287"/>
        <item x="120"/>
        <item x="51"/>
        <item x="125"/>
        <item x="230"/>
        <item x="279"/>
        <item x="199"/>
        <item x="11"/>
        <item x="232"/>
        <item x="190"/>
        <item x="191"/>
        <item x="79"/>
        <item x="198"/>
        <item x="89"/>
        <item x="201"/>
        <item x="97"/>
        <item x="39"/>
        <item x="160"/>
        <item x="0"/>
        <item x="21"/>
        <item x="257"/>
        <item x="69"/>
        <item x="169"/>
        <item x="157"/>
        <item x="202"/>
        <item x="235"/>
        <item x="254"/>
        <item x="74"/>
        <item x="243"/>
        <item x="139"/>
        <item x="114"/>
        <item x="280"/>
        <item x="278"/>
        <item x="222"/>
        <item x="127"/>
        <item x="271"/>
        <item x="262"/>
        <item x="228"/>
        <item x="42"/>
        <item x="161"/>
        <item x="151"/>
        <item x="181"/>
        <item x="76"/>
        <item x="247"/>
        <item x="240"/>
        <item x="100"/>
        <item x="96"/>
        <item x="163"/>
        <item x="195"/>
        <item x="185"/>
        <item x="183"/>
        <item x="83"/>
        <item x="206"/>
        <item x="63"/>
        <item x="117"/>
        <item x="156"/>
        <item x="144"/>
        <item x="194"/>
        <item x="276"/>
        <item t="default"/>
      </items>
    </pivotField>
    <pivotField numFmtId="165" showAll="0"/>
    <pivotField showAll="0"/>
    <pivotField showAll="0"/>
    <pivotField showAll="0"/>
    <pivotField showAll="0" defaultSubtotal="0"/>
    <pivotField showAll="0" defaultSubtotal="0"/>
    <pivotField showAll="0" defaultSubtotal="0">
      <items count="5">
        <item x="0"/>
        <item x="1"/>
        <item x="2"/>
        <item x="3"/>
        <item x="4"/>
      </items>
    </pivotField>
  </pivotFields>
  <rowFields count="1">
    <field x="4"/>
  </rowFields>
  <rowItems count="3">
    <i>
      <x/>
    </i>
    <i>
      <x v="1"/>
    </i>
    <i t="grand">
      <x/>
    </i>
  </rowItems>
  <colItems count="1">
    <i/>
  </colItems>
  <dataFields count="1">
    <dataField name="Count of PAYMENT MODE" fld="4" subtotal="count" baseField="0" baseItem="0"/>
  </dataFields>
  <chartFormats count="4">
    <chartFormat chart="1" format="35" series="1">
      <pivotArea type="data" outline="0" fieldPosition="0">
        <references count="1">
          <reference field="4294967294" count="1" selected="0">
            <x v="0"/>
          </reference>
        </references>
      </pivotArea>
    </chartFormat>
    <chartFormat chart="6" format="39" series="1">
      <pivotArea type="data" outline="0" fieldPosition="0">
        <references count="1">
          <reference field="4294967294" count="1" selected="0">
            <x v="0"/>
          </reference>
        </references>
      </pivotArea>
    </chartFormat>
    <chartFormat chart="6" format="40">
      <pivotArea type="data" outline="0" fieldPosition="0">
        <references count="2">
          <reference field="4294967294" count="1" selected="0">
            <x v="0"/>
          </reference>
          <reference field="4" count="1" selected="0">
            <x v="0"/>
          </reference>
        </references>
      </pivotArea>
    </chartFormat>
    <chartFormat chart="6" format="41">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B8D5D62F-55A4-499B-85F0-517C393CEA22}" sourceName="PAYMENT MODE">
  <pivotTables>
    <pivotTable tabId="3" name="PivotTable1"/>
    <pivotTable tabId="3" name="PivotTable3"/>
    <pivotTable tabId="3" name="Productwise"/>
    <pivotTable tabId="3" name="SalesType"/>
    <pivotTable tabId="3" name="TotalSales"/>
    <pivotTable tabId="3" name="CategoryWise1"/>
  </pivotTables>
  <data>
    <tabular pivotCacheId="469002688">
      <items count="3">
        <i x="1" s="1"/>
        <i x="0" s="1"/>
        <i x="2"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645FB5E2-1EDE-40E3-A29D-B7E78389DFA6}" sourceName="Year">
  <pivotTables>
    <pivotTable tabId="3" name="PivotTable1"/>
    <pivotTable tabId="3" name="CategoryWise1"/>
    <pivotTable tabId="3" name="PaymentMode"/>
    <pivotTable tabId="3" name="PivotTable3"/>
    <pivotTable tabId="3" name="Productwise"/>
    <pivotTable tabId="3" name="SalesType"/>
    <pivotTable tabId="3" name="TotalSales"/>
  </pivotTables>
  <data>
    <tabular pivotCacheId="469002688">
      <items count="3">
        <i x="0" s="1"/>
        <i x="1"/>
        <i x="2"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2C936A5C-3DF7-4A17-A2D1-80A5BF8637E2}" sourceName="Month">
  <pivotTables>
    <pivotTable tabId="3" name="PivotTable1"/>
    <pivotTable tabId="3" name="CategoryWise1"/>
    <pivotTable tabId="3" name="PaymentMode"/>
    <pivotTable tabId="3" name="PivotTable3"/>
    <pivotTable tabId="3" name="Productwise"/>
    <pivotTable tabId="3" name="SalesType"/>
    <pivotTable tabId="3" name="TotalSales"/>
  </pivotTables>
  <data>
    <tabular pivotCacheId="469002688">
      <items count="13">
        <i x="0" s="1"/>
        <i x="1"/>
        <i x="2"/>
        <i x="3"/>
        <i x="4"/>
        <i x="5"/>
        <i x="6"/>
        <i x="7"/>
        <i x="8"/>
        <i x="9"/>
        <i x="10"/>
        <i x="11"/>
        <i x="12"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_TYPE" xr10:uid="{D28E2A98-0805-4049-A401-79F3E97E73E1}" sourceName="SALE TYPE">
  <pivotTables>
    <pivotTable tabId="3" name="PivotTable1"/>
    <pivotTable tabId="3" name="CategoryWise1"/>
    <pivotTable tabId="3" name="PaymentMode"/>
    <pivotTable tabId="3" name="PivotTable3"/>
    <pivotTable tabId="3" name="Productwise"/>
    <pivotTable tabId="3" name="TotalSales"/>
  </pivotTables>
  <data>
    <tabular pivotCacheId="469002688">
      <items count="4">
        <i x="2" s="1"/>
        <i x="1" s="1"/>
        <i x="0" s="1"/>
        <i x="3" s="1" nd="1"/>
      </items>
    </tabular>
  </data>
  <extLs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ID" xr10:uid="{74F7D811-AEB0-4906-B7AD-C088B535FBFD}" sourceName="PRODUCT ID">
  <pivotTables>
    <pivotTable tabId="5" name="PivotTable1"/>
  </pivotTables>
  <data>
    <tabular pivotCacheId="208700388">
      <items count="44">
        <i x="16" s="1"/>
        <i x="29" s="1"/>
        <i x="6" s="1"/>
        <i x="3" s="1"/>
        <i x="24" s="1"/>
        <i x="15" s="1"/>
        <i x="36" s="1"/>
        <i x="25" s="1"/>
        <i x="37" s="1"/>
        <i x="20" s="1"/>
        <i x="31" s="1"/>
        <i x="35" s="1"/>
        <i x="2" s="1"/>
        <i x="9" s="1"/>
        <i x="27" s="1"/>
        <i x="21" s="1"/>
        <i x="39" s="1"/>
        <i x="30" s="1"/>
        <i x="40" s="1"/>
        <i x="14" s="1"/>
        <i x="32" s="1"/>
        <i x="22" s="1"/>
        <i x="12" s="1"/>
        <i x="0" s="1"/>
        <i x="7" s="1"/>
        <i x="42" s="1"/>
        <i x="26" s="1"/>
        <i x="33" s="1"/>
        <i x="19" s="1"/>
        <i x="28" s="1"/>
        <i x="5" s="1"/>
        <i x="18" s="1"/>
        <i x="38" s="1"/>
        <i x="13" s="1"/>
        <i x="4" s="1"/>
        <i x="43" s="1"/>
        <i x="8" s="1"/>
        <i x="1" s="1"/>
        <i x="34" s="1"/>
        <i x="17" s="1"/>
        <i x="41" s="1"/>
        <i x="10" s="1"/>
        <i x="23" s="1"/>
        <i x="1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_TYPE1" xr10:uid="{AC492AFF-CEAE-4E88-9D46-33CEFDC36FF7}" sourceName="SALE TYPE">
  <pivotTables>
    <pivotTable tabId="5" name="PivotTable1"/>
  </pivotTables>
  <data>
    <tabular pivotCacheId="208700388">
      <items count="3">
        <i x="2" s="1"/>
        <i x="1" s="1"/>
        <i x="0"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047245D8-737F-434A-8BD0-4BAA77E922E8}" sourceName="Year">
  <pivotTables>
    <pivotTable tabId="5" name="PivotTable1"/>
  </pivotTables>
  <data>
    <tabular pivotCacheId="208700388">
      <items count="2">
        <i x="0" s="1"/>
        <i x="1"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_TYPE2" xr10:uid="{9AB75CDD-632F-4DB4-9195-8B80531D18DA}" sourceName="SALE TYPE">
  <pivotTables>
    <pivotTable tabId="8" name="PivotTable3"/>
  </pivotTables>
  <data>
    <tabular pivotCacheId="208700388">
      <items count="3">
        <i x="2"/>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MODE" xr10:uid="{C2EB2145-5C28-42CD-BFC0-038D3D6ED099}" cache="Slicer_PAYMENT_MODE" caption="PAYMENT MODE" rowHeight="234950"/>
  <slicer name="Year" xr10:uid="{98D672D1-E500-46E7-8D3E-3F4237DDCFE1}" cache="Slicer_Year" caption="Year" rowHeight="234950"/>
  <slicer name="Month" xr10:uid="{7B296097-B974-428C-9C81-AD8127E5AB01}" cache="Slicer_Month" caption="Month" columnCount="12" rowHeight="234950"/>
  <slicer name="SALE TYPE" xr10:uid="{04F474CC-003F-4D35-A60C-8EF684117EB8}" cache="Slicer_SALE_TYPE" caption="SALE TYP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ID 1" xr10:uid="{481A0B30-2CE1-4143-B355-B6B28AD77822}" cache="Slicer_PRODUCT_ID" caption="PRODUCT ID" startItem="1" style="SLICER" rowHeight="234950"/>
  <slicer name="SALE TYPE 3" xr10:uid="{258266B3-02A0-4342-88F2-21E7A721738A}" cache="Slicer_SALE_TYPE1" caption="SALE TYPE" style="SLICER" rowHeight="234950"/>
  <slicer name="Year 3" xr10:uid="{7B3A4F88-7D73-49FA-B66A-9E4F5B6430B9}" cache="Slicer_Year1" caption="Year" style="SLICER" rowHeight="234950"/>
  <slicer name="SALE TYPE 5" xr10:uid="{ABFA5017-7DC0-43ED-BAB4-62D3F324A324}" cache="Slicer_SALE_TYPE2" caption="SALE TYPE" style="SLICER"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ID" xr10:uid="{160521F9-B0CD-42C4-8438-933707FE5829}" cache="Slicer_PRODUCT_ID" caption="PRODUCT ID" startItem="1" style="SLICER" rowHeight="234950"/>
  <slicer name="SALE TYPE 2" xr10:uid="{EE61FF37-D211-4CEC-8F9B-59740DCAB448}" cache="Slicer_SALE_TYPE1" caption="SALE TYPE" style="SLICER" rowHeight="234950"/>
  <slicer name="Year 2" xr10:uid="{80BD3C6E-C78D-413F-9CB1-B83D222162EF}" cache="Slicer_Year1" caption="Year" style="SLICER"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 TYPE 4" xr10:uid="{5DFC25A8-7474-4868-8B91-A2AEC255110F}" cache="Slicer_SALE_TYPE2" caption="SALE TYPE" style="SLICE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0351B27-4213-4B50-AF1E-6DD234ED1CD8}" name="InputData" displayName="InputData" ref="A1:P528" headerRowDxfId="44" dataDxfId="42" headerRowBorderDxfId="43">
  <autoFilter ref="A1:P528" xr:uid="{60351B27-4213-4B50-AF1E-6DD234ED1CD8}"/>
  <sortState xmlns:xlrd2="http://schemas.microsoft.com/office/spreadsheetml/2017/richdata2" ref="A2:E527">
    <sortCondition ref="A1:A527"/>
  </sortState>
  <tableColumns count="16">
    <tableColumn id="1" xr3:uid="{7E2D9722-C99A-4D79-AD8A-A4AF24D31B15}" name="DATE" totalsRowLabel="Total" dataDxfId="41" totalsRowDxfId="40"/>
    <tableColumn id="3" xr3:uid="{1B687DA1-746A-409E-8132-464ADA2D65F7}" name="PRODUCT ID" dataDxfId="39" totalsRowDxfId="38"/>
    <tableColumn id="2" xr3:uid="{3D21C161-3520-4EEB-95C2-BC89A67F811B}" name="QUANTITY" dataDxfId="37" totalsRowDxfId="36"/>
    <tableColumn id="4" xr3:uid="{51AFA112-3989-4C7A-B537-003512753602}" name="SALE TYPE" dataDxfId="35" totalsRowDxfId="34"/>
    <tableColumn id="5" xr3:uid="{057B8FDA-60FB-4816-999C-2030B688B9CF}" name="PAYMENT MODE" dataDxfId="33" totalsRowDxfId="32"/>
    <tableColumn id="6" xr3:uid="{A77A9445-20AF-4122-92EB-C3706E536AB4}" name="DISCOUNT %" dataDxfId="31" totalsRowDxfId="30"/>
    <tableColumn id="7" xr3:uid="{460574DE-470D-4F6E-9495-6C9AC7B1F2F9}" name="PRODUCT" dataDxfId="29" totalsRowDxfId="28">
      <calculatedColumnFormula>VLOOKUP(InputData[[#This Row],[PRODUCT ID]],MasterData[],2,0)</calculatedColumnFormula>
    </tableColumn>
    <tableColumn id="8" xr3:uid="{6DD67F82-FC6E-4692-B12E-D2DFF1B2E9B5}" name="CATEGORY" dataDxfId="27" totalsRowDxfId="26">
      <calculatedColumnFormula>VLOOKUP(InputData[[#This Row],[PRODUCT ID]],MasterData[],3,0)</calculatedColumnFormula>
    </tableColumn>
    <tableColumn id="9" xr3:uid="{2450654B-FD5C-4C46-A372-BA97A9D6BDC7}" name="UOM" dataDxfId="25" totalsRowDxfId="24">
      <calculatedColumnFormula>VLOOKUP(InputData[[#This Row],[PRODUCT ID]],MasterData[],4,0)</calculatedColumnFormula>
    </tableColumn>
    <tableColumn id="10" xr3:uid="{315DBC2D-277A-4BEC-82F7-4B0B11F950C7}" name="BUYING PRIZE" dataDxfId="23" totalsRowDxfId="22">
      <calculatedColumnFormula>VLOOKUP(InputData[[#This Row],[PRODUCT ID]],MasterData[],5,0)</calculatedColumnFormula>
    </tableColumn>
    <tableColumn id="11" xr3:uid="{5F99541D-2055-4B26-A1FF-5E138141A612}" name="SELLING PRICE" dataDxfId="21" totalsRowDxfId="20">
      <calculatedColumnFormula>VLOOKUP(InputData[[#This Row],[PRODUCT ID]],MasterData[],5,0)</calculatedColumnFormula>
    </tableColumn>
    <tableColumn id="12" xr3:uid="{E3D010A9-28EA-46DF-ADDC-770F89B475B3}" name="Total Buying Value" dataDxfId="19" totalsRowDxfId="18">
      <calculatedColumnFormula>InputData[[#This Row],[BUYING PRIZE]]*InputData[[#This Row],[QUANTITY]]</calculatedColumnFormula>
    </tableColumn>
    <tableColumn id="13" xr3:uid="{6415D006-37EE-4410-9CD2-FFAD1C4CBBB5}" name="Total Selling Value" dataDxfId="17" totalsRowDxfId="16">
      <calculatedColumnFormula>InputData[[#This Row],[SELLING PRICE]]*InputData[[#This Row],[QUANTITY]]*(1-InputData[[#This Row],[DISCOUNT %]])</calculatedColumnFormula>
    </tableColumn>
    <tableColumn id="14" xr3:uid="{CD40151F-E5E4-4AB9-A83F-5669CDEC9193}" name="Day" dataDxfId="15" totalsRowDxfId="14">
      <calculatedColumnFormula>DAY(InputData[[#This Row],[DATE]])</calculatedColumnFormula>
    </tableColumn>
    <tableColumn id="15" xr3:uid="{C923A755-9AA5-4F54-9494-70F3529AC51D}" name="Month" dataDxfId="13" totalsRowDxfId="12">
      <calculatedColumnFormula>TEXT(InputData[[#This Row],[DATE]],"mmm")</calculatedColumnFormula>
    </tableColumn>
    <tableColumn id="16" xr3:uid="{F829979F-16EA-4D36-8DF1-32A468A589B6}" name="Year" totalsRowFunction="sum" dataDxfId="11" totalsRowDxfId="10">
      <calculatedColumnFormula>YEAR(InputData[[#This Row],[DATE]])</calculatedColumnFormula>
    </tableColumn>
  </tableColumns>
  <tableStyleInfo name="TableStyleLight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E6FA1E2-6EE8-430A-AF62-020400F3E926}" name="MasterData" displayName="MasterData" ref="A1:G46" totalsRowShown="0" headerRowDxfId="9" dataDxfId="7" headerRowBorderDxfId="8">
  <autoFilter ref="A1:G46" xr:uid="{DE6FA1E2-6EE8-430A-AF62-020400F3E926}"/>
  <tableColumns count="7">
    <tableColumn id="1" xr3:uid="{106E50BA-9FFB-484D-AC75-176578AFED44}" name="PRODUCT ID" dataDxfId="6"/>
    <tableColumn id="2" xr3:uid="{C6063C4C-22AC-43C3-B630-5C0916CFA263}" name="PRODUCT" dataDxfId="5"/>
    <tableColumn id="3" xr3:uid="{FEA9A0A4-A0D7-45FA-BD75-4D9EBBD09441}" name="CATEGORY" dataDxfId="4"/>
    <tableColumn id="4" xr3:uid="{3BDFD3DA-79CD-4B0E-9F98-1F406523093B}" name="UOM" dataDxfId="3"/>
    <tableColumn id="5" xr3:uid="{C286276F-25D5-4D9D-9759-32EF67A133BE}" name="BUYING PRIZE" dataDxfId="2"/>
    <tableColumn id="6" xr3:uid="{BFC92544-6510-4B40-ABEE-FD6A4B0302D7}" name="SELLING PRICE" dataDxfId="1"/>
    <tableColumn id="8" xr3:uid="{74E10CDF-4928-4BDD-BBD5-A3AD1A3A6DB3}" name="Column1" dataDxfId="0">
      <calculatedColumnFormula>IF(E1&lt;50,"Bad",IF(E1&lt;=100,"Good","Very good"))</calculatedColumnFormula>
    </tableColumn>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Red Violet">
      <a:dk1>
        <a:sysClr val="windowText" lastClr="000000"/>
      </a:dk1>
      <a:lt1>
        <a:sysClr val="window" lastClr="FFFFFF"/>
      </a:lt1>
      <a:dk2>
        <a:srgbClr val="454551"/>
      </a:dk2>
      <a:lt2>
        <a:srgbClr val="D8D9DC"/>
      </a:lt2>
      <a:accent1>
        <a:srgbClr val="E32D91"/>
      </a:accent1>
      <a:accent2>
        <a:srgbClr val="C830CC"/>
      </a:accent2>
      <a:accent3>
        <a:srgbClr val="4EA6DC"/>
      </a:accent3>
      <a:accent4>
        <a:srgbClr val="4775E7"/>
      </a:accent4>
      <a:accent5>
        <a:srgbClr val="8971E1"/>
      </a:accent5>
      <a:accent6>
        <a:srgbClr val="D54773"/>
      </a:accent6>
      <a:hlink>
        <a:srgbClr val="6B9F25"/>
      </a:hlink>
      <a:folHlink>
        <a:srgbClr val="8C8C8C"/>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13" Type="http://schemas.openxmlformats.org/officeDocument/2006/relationships/ctrlProp" Target="../ctrlProps/ctrlProp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ctrlProp" Target="../ctrlProps/ctrlProp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ctrlProp" Target="../ctrlProps/ctrlProp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vmlDrawing" Target="../drawings/vmlDrawing1.vml"/><Relationship Id="rId4" Type="http://schemas.openxmlformats.org/officeDocument/2006/relationships/pivotTable" Target="../pivotTables/pivotTable4.xml"/><Relationship Id="rId9" Type="http://schemas.openxmlformats.org/officeDocument/2006/relationships/drawing" Target="../drawings/drawing1.xml"/><Relationship Id="rId14" Type="http://schemas.openxmlformats.org/officeDocument/2006/relationships/ctrlProp" Target="../ctrlProps/ctrlProp4.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pivotTable" Target="../pivotTables/pivotTable8.xml"/><Relationship Id="rId4" Type="http://schemas.microsoft.com/office/2007/relationships/slicer" Target="../slicers/slicer3.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6.bin"/><Relationship Id="rId1" Type="http://schemas.openxmlformats.org/officeDocument/2006/relationships/pivotTable" Target="../pivotTables/pivotTable10.xml"/><Relationship Id="rId4" Type="http://schemas.microsoft.com/office/2007/relationships/slicer" Target="../slicers/slicer4.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7.bin"/><Relationship Id="rId1" Type="http://schemas.openxmlformats.org/officeDocument/2006/relationships/pivotTable" Target="../pivotTables/pivotTable11.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A446A-A1E4-4C6F-8BA7-8303AB4593A7}">
  <sheetPr>
    <tabColor rgb="FF0070C0"/>
  </sheetPr>
  <dimension ref="A1:AO45"/>
  <sheetViews>
    <sheetView topLeftCell="A16" workbookViewId="0">
      <selection activeCell="E4" sqref="E4"/>
    </sheetView>
  </sheetViews>
  <sheetFormatPr defaultRowHeight="14.4" x14ac:dyDescent="0.3"/>
  <cols>
    <col min="1" max="1" width="12.5546875" customWidth="1"/>
    <col min="2" max="2" width="11.6640625" customWidth="1"/>
    <col min="3" max="3" width="4.88671875" customWidth="1"/>
    <col min="4" max="4" width="23.44140625" customWidth="1"/>
    <col min="5" max="5" width="23.109375" customWidth="1"/>
    <col min="6" max="6" width="8.5546875" customWidth="1"/>
    <col min="7" max="7" width="12.5546875" customWidth="1"/>
    <col min="8" max="8" width="23.44140625" customWidth="1"/>
    <col min="9" max="9" width="23.109375" customWidth="1"/>
    <col min="10" max="10" width="8.6640625" customWidth="1"/>
    <col min="11" max="11" width="12.44140625" customWidth="1"/>
    <col min="12" max="12" width="13.21875" customWidth="1"/>
    <col min="13" max="13" width="13.109375" customWidth="1"/>
    <col min="14" max="14" width="11.44140625" customWidth="1"/>
    <col min="16" max="16" width="12.5546875" customWidth="1"/>
    <col min="17" max="17" width="23.109375" customWidth="1"/>
    <col min="18" max="18" width="16.33203125" customWidth="1"/>
    <col min="19" max="19" width="9" customWidth="1"/>
    <col min="20" max="20" width="8.109375" customWidth="1"/>
    <col min="21" max="21" width="11.33203125" customWidth="1"/>
    <col min="24" max="24" width="11.5546875" customWidth="1"/>
    <col min="25" max="25" width="11.6640625" customWidth="1"/>
    <col min="27" max="27" width="11.5546875" customWidth="1"/>
    <col min="28" max="28" width="11.77734375" customWidth="1"/>
    <col min="29" max="29" width="12.5546875" customWidth="1"/>
    <col min="30" max="30" width="11.6640625" customWidth="1"/>
    <col min="31" max="31" width="8.33203125" customWidth="1"/>
    <col min="32" max="32" width="10.33203125" customWidth="1"/>
    <col min="33" max="34" width="11.88671875" customWidth="1"/>
    <col min="35" max="35" width="11.6640625" customWidth="1"/>
    <col min="36" max="37" width="12.5546875" customWidth="1"/>
    <col min="38" max="38" width="23.109375" customWidth="1"/>
    <col min="40" max="40" width="12.5546875" customWidth="1"/>
    <col min="41" max="41" width="23.109375" customWidth="1"/>
  </cols>
  <sheetData>
    <row r="1" spans="1:41" ht="28.8" x14ac:dyDescent="0.3">
      <c r="A1" s="5" t="s">
        <v>119</v>
      </c>
      <c r="B1" s="7" t="s">
        <v>120</v>
      </c>
      <c r="D1" t="s">
        <v>121</v>
      </c>
      <c r="E1" t="s">
        <v>120</v>
      </c>
      <c r="G1" s="5" t="s">
        <v>119</v>
      </c>
      <c r="H1" t="s">
        <v>121</v>
      </c>
      <c r="I1" t="s">
        <v>120</v>
      </c>
      <c r="L1" t="b">
        <v>1</v>
      </c>
      <c r="M1" t="b">
        <v>1</v>
      </c>
      <c r="N1" t="b">
        <v>1</v>
      </c>
      <c r="P1" s="5" t="s">
        <v>119</v>
      </c>
      <c r="Q1" t="s">
        <v>120</v>
      </c>
      <c r="R1" t="s">
        <v>134</v>
      </c>
      <c r="U1" t="str">
        <f ca="1">VLOOKUP(1,T:W,2,0)</f>
        <v>Product42</v>
      </c>
      <c r="V1" s="9">
        <f ca="1">VLOOKUP(1,T:W,3,0)</f>
        <v>2400</v>
      </c>
      <c r="W1">
        <f ca="1">VLOOKUP(1,T:W,4,0)</f>
        <v>20</v>
      </c>
      <c r="Y1">
        <v>1</v>
      </c>
      <c r="Z1">
        <f>COUNT(R:R)-9</f>
        <v>11</v>
      </c>
      <c r="AA1">
        <f>MIN(Y1:Z1)</f>
        <v>1</v>
      </c>
      <c r="AC1" s="5" t="s">
        <v>119</v>
      </c>
      <c r="AD1" s="7" t="s">
        <v>120</v>
      </c>
      <c r="AE1" s="7"/>
      <c r="AG1" t="str">
        <f ca="1">VLOOKUP(1,AF:AH,2,0)</f>
        <v>Category05</v>
      </c>
      <c r="AH1" s="9">
        <f ca="1">VLOOKUP(1,AF:AH,3,0)</f>
        <v>5983</v>
      </c>
      <c r="AK1" s="5" t="s">
        <v>119</v>
      </c>
      <c r="AL1" s="7" t="s">
        <v>120</v>
      </c>
      <c r="AN1" s="5" t="s">
        <v>119</v>
      </c>
      <c r="AO1" s="7" t="s">
        <v>120</v>
      </c>
    </row>
    <row r="2" spans="1:41" x14ac:dyDescent="0.3">
      <c r="A2" s="6">
        <v>1</v>
      </c>
      <c r="B2" s="4">
        <v>1296</v>
      </c>
      <c r="D2">
        <v>15263</v>
      </c>
      <c r="E2">
        <v>15263</v>
      </c>
      <c r="G2" s="6" t="s">
        <v>122</v>
      </c>
      <c r="H2">
        <v>15263</v>
      </c>
      <c r="I2">
        <v>15263</v>
      </c>
      <c r="K2" t="s">
        <v>117</v>
      </c>
      <c r="L2" t="s">
        <v>138</v>
      </c>
      <c r="M2" t="s">
        <v>139</v>
      </c>
      <c r="N2" t="s">
        <v>140</v>
      </c>
      <c r="P2" s="6" t="s">
        <v>7</v>
      </c>
      <c r="Q2">
        <v>686</v>
      </c>
      <c r="R2">
        <v>7</v>
      </c>
      <c r="T2">
        <f ca="1">RANK(V2,V2:V45)</f>
        <v>8</v>
      </c>
      <c r="U2" t="str" cm="1">
        <f t="array" aca="1" ref="U2:U21" ca="1">OFFSET($P$1,1,0,COUNT($Q:$Q))</f>
        <v>Product01</v>
      </c>
      <c r="V2" s="9" cm="1">
        <f t="array" aca="1" ref="V2:V21" ca="1">OFFSET($P$1,1,1,COUNT($Q:$Q))</f>
        <v>686</v>
      </c>
      <c r="W2" cm="1">
        <f t="array" aca="1" ref="W2:W21" ca="1">OFFSET($P$1,1,2,COUNT($Q:$Q))</f>
        <v>7</v>
      </c>
      <c r="Y2" t="str" cm="1">
        <f t="array" aca="1" ref="Y2:Y11" ca="1">OFFSET($P$1,$AA$1,0,10)</f>
        <v>Product01</v>
      </c>
      <c r="Z2" s="9" cm="1">
        <f t="array" aca="1" ref="Z2:Z11" ca="1">OFFSET($P$1,$AA$1,1,10)</f>
        <v>686</v>
      </c>
      <c r="AC2" s="6" t="s">
        <v>8</v>
      </c>
      <c r="AD2">
        <v>3738</v>
      </c>
      <c r="AK2" s="6" t="s">
        <v>108</v>
      </c>
      <c r="AL2">
        <v>6864</v>
      </c>
      <c r="AN2" s="6" t="s">
        <v>107</v>
      </c>
      <c r="AO2">
        <v>7464</v>
      </c>
    </row>
    <row r="3" spans="1:41" x14ac:dyDescent="0.3">
      <c r="A3" s="6">
        <v>2</v>
      </c>
      <c r="B3" s="4">
        <v>1752</v>
      </c>
      <c r="K3" s="6" t="s">
        <v>122</v>
      </c>
      <c r="L3" s="9">
        <f>IF($L$1=TRUE,VLOOKUP(K3,G1:I13,3,0),NA())</f>
        <v>15263</v>
      </c>
      <c r="M3" s="9">
        <f>IF($M$1=TRUE,VLOOKUP(K3,G1:I13,3,0)-VLOOKUP(K3,G1:I13,2,0),NA())</f>
        <v>0</v>
      </c>
      <c r="N3" s="8">
        <f>IF($N$1=TRUE,M3/VLOOKUP(K3,G1:I13,2,0),"")</f>
        <v>0</v>
      </c>
      <c r="P3" s="6" t="s">
        <v>13</v>
      </c>
      <c r="Q3">
        <v>1207</v>
      </c>
      <c r="R3">
        <v>17</v>
      </c>
      <c r="T3">
        <f t="shared" ref="T3:T45" ca="1" si="0">RANK(V3,V3:V46)</f>
        <v>6</v>
      </c>
      <c r="U3" t="str">
        <f ca="1"/>
        <v>Product03</v>
      </c>
      <c r="V3" s="9">
        <f ca="1"/>
        <v>1207</v>
      </c>
      <c r="W3">
        <f ca="1"/>
        <v>17</v>
      </c>
      <c r="Y3" t="str">
        <f ca="1"/>
        <v>Product03</v>
      </c>
      <c r="Z3" s="9">
        <f ca="1"/>
        <v>1207</v>
      </c>
      <c r="AC3" s="6" t="s">
        <v>28</v>
      </c>
      <c r="AD3">
        <v>1120</v>
      </c>
      <c r="AF3" cm="1">
        <f t="array" aca="1" ref="AF3:AF7" ca="1">RANK(_xlfn.ANCHORARRAY(AH3),_xlfn.ANCHORARRAY(AH3))</f>
        <v>2</v>
      </c>
      <c r="AG3" t="str" cm="1">
        <f t="array" aca="1" ref="AG3:AG7" ca="1">OFFSET($AC$1,1,0,COUNT($AD:$AD))</f>
        <v>Category01</v>
      </c>
      <c r="AH3" s="9" cm="1">
        <f t="array" aca="1" ref="AH3:AH7" ca="1">OFFSET($AC$1,1,1,COUNT($AD:$AD))</f>
        <v>3738</v>
      </c>
      <c r="AK3" s="6" t="s">
        <v>106</v>
      </c>
      <c r="AL3">
        <v>4414</v>
      </c>
      <c r="AN3" s="6" t="s">
        <v>106</v>
      </c>
      <c r="AO3">
        <v>7799</v>
      </c>
    </row>
    <row r="4" spans="1:41" x14ac:dyDescent="0.3">
      <c r="A4" s="6">
        <v>3</v>
      </c>
      <c r="B4" s="4">
        <v>220</v>
      </c>
      <c r="D4" t="s">
        <v>135</v>
      </c>
      <c r="E4" s="9">
        <f>GETPIVOTDATA("Sum of Total Selling Value",$D$1)</f>
        <v>15263</v>
      </c>
      <c r="K4" s="6" t="s">
        <v>123</v>
      </c>
      <c r="L4" s="9" t="e">
        <f t="shared" ref="L4:L14" si="1">IF($L$1=TRUE,VLOOKUP(K4,G2:I14,3,0),NA())</f>
        <v>#N/A</v>
      </c>
      <c r="M4" s="9" t="e">
        <f t="shared" ref="M4:M14" si="2">IF($M$1=TRUE,VLOOKUP(K4,G2:I14,3,0)-VLOOKUP(K4,G2:I14,2,0),NA())</f>
        <v>#N/A</v>
      </c>
      <c r="N4" s="8" t="e">
        <f t="shared" ref="N4:N14" si="3">IF($N$1=TRUE,M4/VLOOKUP(K4,G2:I14,2,0),"")</f>
        <v>#N/A</v>
      </c>
      <c r="P4" s="6" t="s">
        <v>15</v>
      </c>
      <c r="Q4">
        <v>1320</v>
      </c>
      <c r="R4">
        <v>30</v>
      </c>
      <c r="T4">
        <f t="shared" ca="1" si="0"/>
        <v>4</v>
      </c>
      <c r="U4" t="str">
        <f ca="1"/>
        <v>Product04</v>
      </c>
      <c r="V4" s="9">
        <f ca="1"/>
        <v>1320</v>
      </c>
      <c r="W4">
        <f ca="1"/>
        <v>30</v>
      </c>
      <c r="Y4" t="str">
        <f ca="1"/>
        <v>Product04</v>
      </c>
      <c r="Z4" s="9">
        <f ca="1"/>
        <v>1320</v>
      </c>
      <c r="AC4" s="6" t="s">
        <v>49</v>
      </c>
      <c r="AD4">
        <v>1991</v>
      </c>
      <c r="AF4">
        <f ca="1"/>
        <v>5</v>
      </c>
      <c r="AG4" t="str">
        <f ca="1"/>
        <v>Category02</v>
      </c>
      <c r="AH4" s="9">
        <f ca="1"/>
        <v>1120</v>
      </c>
      <c r="AK4" s="6" t="s">
        <v>105</v>
      </c>
      <c r="AL4">
        <v>3985</v>
      </c>
    </row>
    <row r="5" spans="1:41" x14ac:dyDescent="0.3">
      <c r="A5" s="6">
        <v>4</v>
      </c>
      <c r="B5" s="4">
        <v>60</v>
      </c>
      <c r="D5" t="s">
        <v>136</v>
      </c>
      <c r="E5" s="9">
        <f>GETPIVOTDATA("Sum of Total Selling Value",$D$1)-GETPIVOTDATA("Sum of Total Buying Value",$D$1)</f>
        <v>0</v>
      </c>
      <c r="K5" s="6" t="s">
        <v>124</v>
      </c>
      <c r="L5" s="9" t="e">
        <f t="shared" si="1"/>
        <v>#N/A</v>
      </c>
      <c r="M5" s="9" t="e">
        <f t="shared" si="2"/>
        <v>#N/A</v>
      </c>
      <c r="N5" s="8" t="e">
        <f t="shared" si="3"/>
        <v>#N/A</v>
      </c>
      <c r="P5" s="6" t="s">
        <v>19</v>
      </c>
      <c r="Q5">
        <v>525</v>
      </c>
      <c r="R5">
        <v>7</v>
      </c>
      <c r="T5">
        <f t="shared" ca="1" si="0"/>
        <v>9</v>
      </c>
      <c r="U5" t="str">
        <f ca="1"/>
        <v>Product06</v>
      </c>
      <c r="V5" s="9">
        <f ca="1"/>
        <v>525</v>
      </c>
      <c r="W5">
        <f ca="1"/>
        <v>7</v>
      </c>
      <c r="Y5" t="str">
        <f ca="1"/>
        <v>Product06</v>
      </c>
      <c r="Z5" s="9">
        <f ca="1"/>
        <v>525</v>
      </c>
      <c r="AC5" s="6" t="s">
        <v>62</v>
      </c>
      <c r="AD5">
        <v>2431</v>
      </c>
      <c r="AF5">
        <f ca="1"/>
        <v>4</v>
      </c>
      <c r="AG5" t="str">
        <f ca="1"/>
        <v>Category03</v>
      </c>
      <c r="AH5" s="9">
        <f ca="1"/>
        <v>1991</v>
      </c>
    </row>
    <row r="6" spans="1:41" x14ac:dyDescent="0.3">
      <c r="A6" s="6">
        <v>9</v>
      </c>
      <c r="B6" s="4">
        <v>689</v>
      </c>
      <c r="D6" t="s">
        <v>137</v>
      </c>
      <c r="E6" s="8">
        <f>E5/GETPIVOTDATA("Sum of Total Buying Value",$D$1)</f>
        <v>0</v>
      </c>
      <c r="K6" s="6" t="s">
        <v>125</v>
      </c>
      <c r="L6" s="9" t="e">
        <f t="shared" si="1"/>
        <v>#N/A</v>
      </c>
      <c r="M6" s="9" t="e">
        <f t="shared" si="2"/>
        <v>#N/A</v>
      </c>
      <c r="N6" s="8" t="e">
        <f t="shared" si="3"/>
        <v>#N/A</v>
      </c>
      <c r="P6" s="6" t="s">
        <v>34</v>
      </c>
      <c r="Q6">
        <v>672</v>
      </c>
      <c r="R6">
        <v>6</v>
      </c>
      <c r="T6">
        <f t="shared" ca="1" si="0"/>
        <v>6</v>
      </c>
      <c r="U6" t="str">
        <f ca="1"/>
        <v>Product13</v>
      </c>
      <c r="V6" s="9">
        <f ca="1"/>
        <v>672</v>
      </c>
      <c r="W6">
        <f ca="1"/>
        <v>6</v>
      </c>
      <c r="Y6" t="str">
        <f ca="1"/>
        <v>Product13</v>
      </c>
      <c r="Z6" s="9">
        <f ca="1"/>
        <v>672</v>
      </c>
      <c r="AC6" s="6" t="s">
        <v>85</v>
      </c>
      <c r="AD6">
        <v>5983</v>
      </c>
      <c r="AF6">
        <f ca="1"/>
        <v>3</v>
      </c>
      <c r="AG6" t="str">
        <f ca="1"/>
        <v>Category04</v>
      </c>
      <c r="AH6" s="9">
        <f ca="1"/>
        <v>2431</v>
      </c>
    </row>
    <row r="7" spans="1:41" x14ac:dyDescent="0.3">
      <c r="A7" s="6">
        <v>11</v>
      </c>
      <c r="B7" s="4">
        <v>1129</v>
      </c>
      <c r="K7" s="6" t="s">
        <v>126</v>
      </c>
      <c r="L7" s="9" t="e">
        <f t="shared" si="1"/>
        <v>#N/A</v>
      </c>
      <c r="M7" s="9" t="e">
        <f t="shared" si="2"/>
        <v>#N/A</v>
      </c>
      <c r="N7" s="8" t="e">
        <f t="shared" si="3"/>
        <v>#N/A</v>
      </c>
      <c r="P7" s="6" t="s">
        <v>36</v>
      </c>
      <c r="Q7">
        <v>448</v>
      </c>
      <c r="R7">
        <v>4</v>
      </c>
      <c r="T7">
        <f t="shared" ca="1" si="0"/>
        <v>8</v>
      </c>
      <c r="U7" t="str">
        <f ca="1"/>
        <v>Product14</v>
      </c>
      <c r="V7" s="9">
        <f ca="1"/>
        <v>448</v>
      </c>
      <c r="W7">
        <f ca="1"/>
        <v>4</v>
      </c>
      <c r="Y7" t="str">
        <f ca="1"/>
        <v>Product14</v>
      </c>
      <c r="Z7" s="9">
        <f ca="1"/>
        <v>448</v>
      </c>
      <c r="AF7">
        <f ca="1"/>
        <v>1</v>
      </c>
      <c r="AG7" t="str">
        <f ca="1"/>
        <v>Category05</v>
      </c>
      <c r="AH7" s="9">
        <f ca="1"/>
        <v>5983</v>
      </c>
    </row>
    <row r="8" spans="1:41" x14ac:dyDescent="0.3">
      <c r="A8" s="6">
        <v>12</v>
      </c>
      <c r="B8" s="4">
        <v>1200</v>
      </c>
      <c r="K8" s="6" t="s">
        <v>127</v>
      </c>
      <c r="L8" s="9" t="e">
        <f t="shared" si="1"/>
        <v>#N/A</v>
      </c>
      <c r="M8" s="9" t="e">
        <f t="shared" si="2"/>
        <v>#N/A</v>
      </c>
      <c r="N8" s="8" t="e">
        <f t="shared" si="3"/>
        <v>#N/A</v>
      </c>
      <c r="P8" s="6" t="s">
        <v>48</v>
      </c>
      <c r="Q8">
        <v>244</v>
      </c>
      <c r="R8">
        <v>4</v>
      </c>
      <c r="T8">
        <f t="shared" ca="1" si="0"/>
        <v>10</v>
      </c>
      <c r="U8" t="str">
        <f ca="1"/>
        <v>Product20</v>
      </c>
      <c r="V8" s="9">
        <f ca="1"/>
        <v>244</v>
      </c>
      <c r="W8">
        <f ca="1"/>
        <v>4</v>
      </c>
      <c r="Y8" t="str">
        <f ca="1"/>
        <v>Product20</v>
      </c>
      <c r="Z8" s="9">
        <f ca="1"/>
        <v>244</v>
      </c>
    </row>
    <row r="9" spans="1:41" x14ac:dyDescent="0.3">
      <c r="A9" s="6">
        <v>18</v>
      </c>
      <c r="B9" s="4">
        <v>1411</v>
      </c>
      <c r="K9" s="6" t="s">
        <v>128</v>
      </c>
      <c r="L9" s="9" t="e">
        <f t="shared" si="1"/>
        <v>#N/A</v>
      </c>
      <c r="M9" s="9" t="e">
        <f t="shared" si="2"/>
        <v>#N/A</v>
      </c>
      <c r="N9" s="8" t="e">
        <f t="shared" si="3"/>
        <v>#N/A</v>
      </c>
      <c r="P9" s="6" t="s">
        <v>55</v>
      </c>
      <c r="Q9">
        <v>423</v>
      </c>
      <c r="R9">
        <v>3</v>
      </c>
      <c r="T9">
        <f t="shared" ca="1" si="0"/>
        <v>8</v>
      </c>
      <c r="U9" t="str">
        <f ca="1"/>
        <v>Product23</v>
      </c>
      <c r="V9" s="9">
        <f ca="1"/>
        <v>423</v>
      </c>
      <c r="W9">
        <f ca="1"/>
        <v>3</v>
      </c>
      <c r="Y9" t="str">
        <f ca="1"/>
        <v>Product23</v>
      </c>
      <c r="Z9" s="9">
        <f ca="1"/>
        <v>423</v>
      </c>
    </row>
    <row r="10" spans="1:41" x14ac:dyDescent="0.3">
      <c r="A10" s="6">
        <v>19</v>
      </c>
      <c r="B10" s="4">
        <v>30</v>
      </c>
      <c r="K10" s="6" t="s">
        <v>129</v>
      </c>
      <c r="L10" s="9" t="e">
        <f t="shared" si="1"/>
        <v>#N/A</v>
      </c>
      <c r="M10" s="9" t="e">
        <f t="shared" si="2"/>
        <v>#N/A</v>
      </c>
      <c r="N10" s="8" t="e">
        <f t="shared" si="3"/>
        <v>#N/A</v>
      </c>
      <c r="P10" s="6" t="s">
        <v>57</v>
      </c>
      <c r="Q10">
        <v>1296</v>
      </c>
      <c r="R10">
        <v>9</v>
      </c>
      <c r="T10">
        <f t="shared" ca="1" si="0"/>
        <v>4</v>
      </c>
      <c r="U10" t="str">
        <f ca="1"/>
        <v>Product24</v>
      </c>
      <c r="V10" s="9">
        <f ca="1"/>
        <v>1296</v>
      </c>
      <c r="W10">
        <f ca="1"/>
        <v>9</v>
      </c>
      <c r="Y10" t="str">
        <f ca="1"/>
        <v>Product24</v>
      </c>
      <c r="Z10" s="9">
        <f ca="1"/>
        <v>1296</v>
      </c>
    </row>
    <row r="11" spans="1:41" x14ac:dyDescent="0.3">
      <c r="A11" s="6">
        <v>20</v>
      </c>
      <c r="B11" s="4">
        <v>464</v>
      </c>
      <c r="K11" s="6" t="s">
        <v>130</v>
      </c>
      <c r="L11" s="9" t="e">
        <f t="shared" si="1"/>
        <v>#N/A</v>
      </c>
      <c r="M11" s="9" t="e">
        <f t="shared" si="2"/>
        <v>#N/A</v>
      </c>
      <c r="N11" s="8" t="e">
        <f t="shared" si="3"/>
        <v>#N/A</v>
      </c>
      <c r="P11" s="6" t="s">
        <v>59</v>
      </c>
      <c r="Q11">
        <v>28</v>
      </c>
      <c r="R11">
        <v>4</v>
      </c>
      <c r="T11">
        <f t="shared" ca="1" si="0"/>
        <v>11</v>
      </c>
      <c r="U11" t="str">
        <f ca="1"/>
        <v>Product25</v>
      </c>
      <c r="V11" s="9">
        <f ca="1"/>
        <v>28</v>
      </c>
      <c r="W11">
        <f ca="1"/>
        <v>4</v>
      </c>
      <c r="Y11" t="str">
        <f ca="1"/>
        <v>Product25</v>
      </c>
      <c r="Z11" s="9">
        <f ca="1"/>
        <v>28</v>
      </c>
    </row>
    <row r="12" spans="1:41" x14ac:dyDescent="0.3">
      <c r="A12" s="6">
        <v>21</v>
      </c>
      <c r="B12" s="4">
        <v>2019</v>
      </c>
      <c r="K12" s="6" t="s">
        <v>131</v>
      </c>
      <c r="L12" s="9" t="e">
        <f t="shared" si="1"/>
        <v>#N/A</v>
      </c>
      <c r="M12" s="9" t="e">
        <f t="shared" si="2"/>
        <v>#N/A</v>
      </c>
      <c r="N12" s="8" t="e">
        <f t="shared" si="3"/>
        <v>#N/A</v>
      </c>
      <c r="P12" s="6" t="s">
        <v>68</v>
      </c>
      <c r="Q12">
        <v>94</v>
      </c>
      <c r="R12">
        <v>2</v>
      </c>
      <c r="T12">
        <f t="shared" ca="1" si="0"/>
        <v>10</v>
      </c>
      <c r="U12" t="str">
        <f ca="1"/>
        <v>Product29</v>
      </c>
      <c r="V12" s="9">
        <f ca="1"/>
        <v>94</v>
      </c>
      <c r="W12">
        <f ca="1"/>
        <v>2</v>
      </c>
    </row>
    <row r="13" spans="1:41" x14ac:dyDescent="0.3">
      <c r="A13" s="6">
        <v>25</v>
      </c>
      <c r="B13" s="4">
        <v>1667</v>
      </c>
      <c r="K13" s="6" t="s">
        <v>132</v>
      </c>
      <c r="L13" s="9" t="e">
        <f t="shared" si="1"/>
        <v>#N/A</v>
      </c>
      <c r="M13" s="9" t="e">
        <f t="shared" si="2"/>
        <v>#N/A</v>
      </c>
      <c r="N13" s="8" t="e">
        <f t="shared" si="3"/>
        <v>#N/A</v>
      </c>
      <c r="P13" s="6" t="s">
        <v>72</v>
      </c>
      <c r="Q13">
        <v>1395</v>
      </c>
      <c r="R13">
        <v>15</v>
      </c>
      <c r="T13">
        <f t="shared" ca="1" si="0"/>
        <v>3</v>
      </c>
      <c r="U13" t="str">
        <f ca="1"/>
        <v>Product31</v>
      </c>
      <c r="V13" s="9">
        <f ca="1"/>
        <v>1395</v>
      </c>
      <c r="W13">
        <f ca="1"/>
        <v>15</v>
      </c>
    </row>
    <row r="14" spans="1:41" x14ac:dyDescent="0.3">
      <c r="A14" s="6">
        <v>26</v>
      </c>
      <c r="B14" s="4">
        <v>1895</v>
      </c>
      <c r="K14" s="6" t="s">
        <v>133</v>
      </c>
      <c r="L14" s="9" t="e">
        <f t="shared" si="1"/>
        <v>#N/A</v>
      </c>
      <c r="M14" s="9" t="e">
        <f t="shared" si="2"/>
        <v>#N/A</v>
      </c>
      <c r="N14" s="8" t="e">
        <f t="shared" si="3"/>
        <v>#N/A</v>
      </c>
      <c r="P14" s="6" t="s">
        <v>74</v>
      </c>
      <c r="Q14">
        <v>267</v>
      </c>
      <c r="R14">
        <v>3</v>
      </c>
      <c r="T14">
        <f t="shared" ca="1" si="0"/>
        <v>6</v>
      </c>
      <c r="U14" t="str">
        <f ca="1"/>
        <v>Product32</v>
      </c>
      <c r="V14" s="9">
        <f ca="1"/>
        <v>267</v>
      </c>
      <c r="W14">
        <f ca="1"/>
        <v>3</v>
      </c>
    </row>
    <row r="15" spans="1:41" x14ac:dyDescent="0.3">
      <c r="A15" s="6">
        <v>27</v>
      </c>
      <c r="B15" s="4">
        <v>897</v>
      </c>
      <c r="P15" s="6" t="s">
        <v>78</v>
      </c>
      <c r="Q15">
        <v>550</v>
      </c>
      <c r="R15">
        <v>10</v>
      </c>
      <c r="T15">
        <f t="shared" ca="1" si="0"/>
        <v>5</v>
      </c>
      <c r="U15" t="str">
        <f ca="1"/>
        <v>Product34</v>
      </c>
      <c r="V15" s="9">
        <f ca="1"/>
        <v>550</v>
      </c>
      <c r="W15">
        <f ca="1"/>
        <v>10</v>
      </c>
    </row>
    <row r="16" spans="1:41" x14ac:dyDescent="0.3">
      <c r="A16" s="6">
        <v>28</v>
      </c>
      <c r="B16" s="4">
        <v>534</v>
      </c>
      <c r="P16" s="6" t="s">
        <v>80</v>
      </c>
      <c r="Q16">
        <v>125</v>
      </c>
      <c r="R16">
        <v>25</v>
      </c>
      <c r="T16">
        <f t="shared" ca="1" si="0"/>
        <v>6</v>
      </c>
      <c r="U16" t="str">
        <f ca="1"/>
        <v>Product35</v>
      </c>
      <c r="V16" s="9">
        <f ca="1"/>
        <v>125</v>
      </c>
      <c r="W16">
        <f ca="1"/>
        <v>25</v>
      </c>
    </row>
    <row r="17" spans="16:23" x14ac:dyDescent="0.3">
      <c r="P17" s="6" t="s">
        <v>84</v>
      </c>
      <c r="Q17">
        <v>201</v>
      </c>
      <c r="R17">
        <v>3</v>
      </c>
      <c r="T17">
        <f t="shared" ca="1" si="0"/>
        <v>5</v>
      </c>
      <c r="U17" t="str">
        <f ca="1"/>
        <v>Product37</v>
      </c>
      <c r="V17" s="9">
        <f ca="1"/>
        <v>201</v>
      </c>
      <c r="W17">
        <f ca="1"/>
        <v>3</v>
      </c>
    </row>
    <row r="18" spans="16:23" x14ac:dyDescent="0.3">
      <c r="P18" s="6" t="s">
        <v>87</v>
      </c>
      <c r="Q18">
        <v>1080</v>
      </c>
      <c r="R18">
        <v>15</v>
      </c>
      <c r="T18">
        <f t="shared" ca="1" si="0"/>
        <v>3</v>
      </c>
      <c r="U18" t="str">
        <f ca="1"/>
        <v>Product38</v>
      </c>
      <c r="V18" s="9">
        <f ca="1"/>
        <v>1080</v>
      </c>
      <c r="W18">
        <f ca="1"/>
        <v>15</v>
      </c>
    </row>
    <row r="19" spans="16:23" x14ac:dyDescent="0.3">
      <c r="P19" s="6" t="s">
        <v>91</v>
      </c>
      <c r="Q19">
        <v>630</v>
      </c>
      <c r="R19">
        <v>7</v>
      </c>
      <c r="T19">
        <f t="shared" ca="1" si="0"/>
        <v>3</v>
      </c>
      <c r="U19" t="str">
        <f ca="1"/>
        <v>Product40</v>
      </c>
      <c r="V19" s="9">
        <f ca="1"/>
        <v>630</v>
      </c>
      <c r="W19">
        <f ca="1"/>
        <v>7</v>
      </c>
    </row>
    <row r="20" spans="16:23" x14ac:dyDescent="0.3">
      <c r="P20" s="6" t="s">
        <v>95</v>
      </c>
      <c r="Q20">
        <v>2400</v>
      </c>
      <c r="R20">
        <v>20</v>
      </c>
      <c r="T20">
        <f t="shared" ca="1" si="0"/>
        <v>1</v>
      </c>
      <c r="U20" t="str">
        <f ca="1"/>
        <v>Product42</v>
      </c>
      <c r="V20" s="9">
        <f ca="1"/>
        <v>2400</v>
      </c>
      <c r="W20">
        <f ca="1"/>
        <v>20</v>
      </c>
    </row>
    <row r="21" spans="16:23" x14ac:dyDescent="0.3">
      <c r="P21" s="6" t="s">
        <v>99</v>
      </c>
      <c r="Q21">
        <v>1672</v>
      </c>
      <c r="R21">
        <v>22</v>
      </c>
      <c r="T21">
        <f t="shared" ca="1" si="0"/>
        <v>1</v>
      </c>
      <c r="U21" t="str">
        <f ca="1"/>
        <v>Product44</v>
      </c>
      <c r="V21" s="9">
        <f ca="1"/>
        <v>1672</v>
      </c>
      <c r="W21">
        <f ca="1"/>
        <v>22</v>
      </c>
    </row>
    <row r="22" spans="16:23" x14ac:dyDescent="0.3">
      <c r="T22" t="e">
        <f t="shared" si="0"/>
        <v>#N/A</v>
      </c>
      <c r="V22" s="9"/>
    </row>
    <row r="23" spans="16:23" x14ac:dyDescent="0.3">
      <c r="T23" t="e">
        <f t="shared" si="0"/>
        <v>#N/A</v>
      </c>
      <c r="V23" s="9"/>
    </row>
    <row r="24" spans="16:23" x14ac:dyDescent="0.3">
      <c r="T24" t="e">
        <f t="shared" si="0"/>
        <v>#N/A</v>
      </c>
      <c r="V24" s="9"/>
    </row>
    <row r="25" spans="16:23" x14ac:dyDescent="0.3">
      <c r="T25" t="e">
        <f t="shared" si="0"/>
        <v>#N/A</v>
      </c>
      <c r="V25" s="9"/>
    </row>
    <row r="26" spans="16:23" x14ac:dyDescent="0.3">
      <c r="T26" t="e">
        <f t="shared" si="0"/>
        <v>#N/A</v>
      </c>
      <c r="V26" s="9"/>
    </row>
    <row r="27" spans="16:23" x14ac:dyDescent="0.3">
      <c r="T27" t="e">
        <f t="shared" si="0"/>
        <v>#N/A</v>
      </c>
      <c r="V27" s="9"/>
    </row>
    <row r="28" spans="16:23" x14ac:dyDescent="0.3">
      <c r="T28" t="e">
        <f t="shared" si="0"/>
        <v>#N/A</v>
      </c>
      <c r="V28" s="9"/>
    </row>
    <row r="29" spans="16:23" x14ac:dyDescent="0.3">
      <c r="T29" t="e">
        <f t="shared" si="0"/>
        <v>#N/A</v>
      </c>
      <c r="V29" s="9"/>
    </row>
    <row r="30" spans="16:23" x14ac:dyDescent="0.3">
      <c r="T30" t="e">
        <f t="shared" si="0"/>
        <v>#N/A</v>
      </c>
      <c r="V30" s="9"/>
    </row>
    <row r="31" spans="16:23" x14ac:dyDescent="0.3">
      <c r="T31" t="e">
        <f t="shared" si="0"/>
        <v>#N/A</v>
      </c>
      <c r="V31" s="9"/>
    </row>
    <row r="32" spans="16:23" x14ac:dyDescent="0.3">
      <c r="T32" t="e">
        <f t="shared" si="0"/>
        <v>#N/A</v>
      </c>
      <c r="V32" s="9"/>
    </row>
    <row r="33" spans="20:22" x14ac:dyDescent="0.3">
      <c r="T33" t="e">
        <f t="shared" si="0"/>
        <v>#N/A</v>
      </c>
      <c r="V33" s="9"/>
    </row>
    <row r="34" spans="20:22" x14ac:dyDescent="0.3">
      <c r="T34" t="e">
        <f t="shared" si="0"/>
        <v>#N/A</v>
      </c>
      <c r="V34" s="9"/>
    </row>
    <row r="35" spans="20:22" x14ac:dyDescent="0.3">
      <c r="T35" t="e">
        <f t="shared" si="0"/>
        <v>#N/A</v>
      </c>
      <c r="V35" s="9"/>
    </row>
    <row r="36" spans="20:22" x14ac:dyDescent="0.3">
      <c r="T36" t="e">
        <f t="shared" si="0"/>
        <v>#N/A</v>
      </c>
      <c r="V36" s="9"/>
    </row>
    <row r="37" spans="20:22" x14ac:dyDescent="0.3">
      <c r="T37" t="e">
        <f t="shared" si="0"/>
        <v>#N/A</v>
      </c>
      <c r="V37" s="9"/>
    </row>
    <row r="38" spans="20:22" x14ac:dyDescent="0.3">
      <c r="T38" t="e">
        <f t="shared" si="0"/>
        <v>#N/A</v>
      </c>
      <c r="V38" s="9"/>
    </row>
    <row r="39" spans="20:22" x14ac:dyDescent="0.3">
      <c r="T39" t="e">
        <f t="shared" si="0"/>
        <v>#N/A</v>
      </c>
      <c r="V39" s="9"/>
    </row>
    <row r="40" spans="20:22" x14ac:dyDescent="0.3">
      <c r="T40" t="e">
        <f t="shared" si="0"/>
        <v>#N/A</v>
      </c>
      <c r="V40" s="9"/>
    </row>
    <row r="41" spans="20:22" x14ac:dyDescent="0.3">
      <c r="T41" t="e">
        <f t="shared" si="0"/>
        <v>#N/A</v>
      </c>
      <c r="V41" s="9"/>
    </row>
    <row r="42" spans="20:22" x14ac:dyDescent="0.3">
      <c r="T42" t="e">
        <f t="shared" si="0"/>
        <v>#N/A</v>
      </c>
      <c r="V42" s="9"/>
    </row>
    <row r="43" spans="20:22" x14ac:dyDescent="0.3">
      <c r="T43" t="e">
        <f t="shared" si="0"/>
        <v>#N/A</v>
      </c>
      <c r="V43" s="9"/>
    </row>
    <row r="44" spans="20:22" x14ac:dyDescent="0.3">
      <c r="T44" t="e">
        <f t="shared" si="0"/>
        <v>#N/A</v>
      </c>
      <c r="V44" s="9"/>
    </row>
    <row r="45" spans="20:22" x14ac:dyDescent="0.3">
      <c r="T45" t="e">
        <f t="shared" si="0"/>
        <v>#N/A</v>
      </c>
      <c r="V45" s="9"/>
    </row>
  </sheetData>
  <pageMargins left="0.7" right="0.7" top="0.75" bottom="0.75" header="0.3" footer="0.3"/>
  <pageSetup orientation="portrait" r:id="rId8"/>
  <drawing r:id="rId9"/>
  <legacyDrawing r:id="rId10"/>
  <mc:AlternateContent xmlns:mc="http://schemas.openxmlformats.org/markup-compatibility/2006">
    <mc:Choice Requires="x14">
      <controls>
        <mc:AlternateContent xmlns:mc="http://schemas.openxmlformats.org/markup-compatibility/2006">
          <mc:Choice Requires="x14">
            <control shapeId="1027" r:id="rId11" name="Check Box 3">
              <controlPr defaultSize="0" autoFill="0" autoLine="0" autoPict="0">
                <anchor moveWithCells="1">
                  <from>
                    <xdr:col>8</xdr:col>
                    <xdr:colOff>358140</xdr:colOff>
                    <xdr:row>18</xdr:row>
                    <xdr:rowOff>22860</xdr:rowOff>
                  </from>
                  <to>
                    <xdr:col>8</xdr:col>
                    <xdr:colOff>807720</xdr:colOff>
                    <xdr:row>19</xdr:row>
                    <xdr:rowOff>53340</xdr:rowOff>
                  </to>
                </anchor>
              </controlPr>
            </control>
          </mc:Choice>
        </mc:AlternateContent>
        <mc:AlternateContent xmlns:mc="http://schemas.openxmlformats.org/markup-compatibility/2006">
          <mc:Choice Requires="x14">
            <control shapeId="1028" r:id="rId12" name="Check Box 4">
              <controlPr defaultSize="0" autoFill="0" autoLine="0" autoPict="0">
                <anchor moveWithCells="1">
                  <from>
                    <xdr:col>7</xdr:col>
                    <xdr:colOff>358140</xdr:colOff>
                    <xdr:row>18</xdr:row>
                    <xdr:rowOff>22860</xdr:rowOff>
                  </from>
                  <to>
                    <xdr:col>7</xdr:col>
                    <xdr:colOff>807720</xdr:colOff>
                    <xdr:row>19</xdr:row>
                    <xdr:rowOff>53340</xdr:rowOff>
                  </to>
                </anchor>
              </controlPr>
            </control>
          </mc:Choice>
        </mc:AlternateContent>
        <mc:AlternateContent xmlns:mc="http://schemas.openxmlformats.org/markup-compatibility/2006">
          <mc:Choice Requires="x14">
            <control shapeId="1029" r:id="rId13" name="Check Box 5">
              <controlPr defaultSize="0" autoFill="0" autoLine="0" autoPict="0">
                <anchor moveWithCells="1">
                  <from>
                    <xdr:col>8</xdr:col>
                    <xdr:colOff>876300</xdr:colOff>
                    <xdr:row>18</xdr:row>
                    <xdr:rowOff>15240</xdr:rowOff>
                  </from>
                  <to>
                    <xdr:col>8</xdr:col>
                    <xdr:colOff>1287780</xdr:colOff>
                    <xdr:row>19</xdr:row>
                    <xdr:rowOff>68580</xdr:rowOff>
                  </to>
                </anchor>
              </controlPr>
            </control>
          </mc:Choice>
        </mc:AlternateContent>
        <mc:AlternateContent xmlns:mc="http://schemas.openxmlformats.org/markup-compatibility/2006">
          <mc:Choice Requires="x14">
            <control shapeId="1030" r:id="rId14" name="Scroll Bar 6">
              <controlPr defaultSize="0" autoPict="0">
                <anchor moveWithCells="1">
                  <from>
                    <xdr:col>23</xdr:col>
                    <xdr:colOff>381000</xdr:colOff>
                    <xdr:row>12</xdr:row>
                    <xdr:rowOff>175260</xdr:rowOff>
                  </from>
                  <to>
                    <xdr:col>23</xdr:col>
                    <xdr:colOff>601980</xdr:colOff>
                    <xdr:row>24</xdr:row>
                    <xdr:rowOff>76200</xdr:rowOff>
                  </to>
                </anchor>
              </controlPr>
            </control>
          </mc:Choice>
        </mc:AlternateContent>
      </controls>
    </mc:Choice>
  </mc:AlternateContent>
  <extLst>
    <ext xmlns:x14="http://schemas.microsoft.com/office/spreadsheetml/2009/9/main" uri="{A8765BA9-456A-4dab-B4F3-ACF838C121DE}">
      <x14:slicerList>
        <x14:slicer r:id="rId1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03094B-4DD4-4B47-AE64-6F74F9B0C116}">
  <dimension ref="A1"/>
  <sheetViews>
    <sheetView tabSelected="1" zoomScale="70" zoomScaleNormal="70" workbookViewId="0">
      <selection activeCell="Y18" sqref="Y18"/>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282DC-33F6-46F2-8A9E-10F7AA3FB1D2}">
  <dimension ref="A1"/>
  <sheetViews>
    <sheetView zoomScale="85" zoomScaleNormal="85" workbookViewId="0">
      <selection activeCell="W14" sqref="W14"/>
    </sheetView>
  </sheetViews>
  <sheetFormatPr defaultRowHeight="14.4" x14ac:dyDescent="0.3"/>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DDDB3-C639-4238-A405-04E21AAA6D94}">
  <dimension ref="A1:E49"/>
  <sheetViews>
    <sheetView zoomScale="55" zoomScaleNormal="55" workbookViewId="0">
      <selection activeCell="Y26" sqref="Y26"/>
    </sheetView>
  </sheetViews>
  <sheetFormatPr defaultRowHeight="14.4" x14ac:dyDescent="0.3"/>
  <cols>
    <col min="1" max="1" width="22.109375" customWidth="1"/>
    <col min="2" max="2" width="22.33203125" customWidth="1"/>
    <col min="3" max="3" width="9" bestFit="1" customWidth="1"/>
    <col min="4" max="4" width="14" customWidth="1"/>
    <col min="5" max="5" width="14.88671875" customWidth="1"/>
  </cols>
  <sheetData>
    <row r="1" spans="1:5" x14ac:dyDescent="0.3">
      <c r="A1" s="5" t="s">
        <v>100</v>
      </c>
      <c r="B1" t="s">
        <v>144</v>
      </c>
    </row>
    <row r="3" spans="1:5" x14ac:dyDescent="0.3">
      <c r="A3" s="5" t="s">
        <v>134</v>
      </c>
      <c r="B3" s="5" t="s">
        <v>143</v>
      </c>
    </row>
    <row r="4" spans="1:5" x14ac:dyDescent="0.3">
      <c r="A4" s="5" t="s">
        <v>119</v>
      </c>
      <c r="B4" t="s">
        <v>108</v>
      </c>
      <c r="C4" t="s">
        <v>106</v>
      </c>
      <c r="D4" t="s">
        <v>105</v>
      </c>
      <c r="E4" t="s">
        <v>142</v>
      </c>
    </row>
    <row r="5" spans="1:5" x14ac:dyDescent="0.3">
      <c r="A5" s="6" t="s">
        <v>6</v>
      </c>
      <c r="B5">
        <v>51</v>
      </c>
      <c r="C5">
        <v>26</v>
      </c>
      <c r="D5">
        <v>17</v>
      </c>
      <c r="E5">
        <v>94</v>
      </c>
    </row>
    <row r="6" spans="1:5" x14ac:dyDescent="0.3">
      <c r="A6" s="6" t="s">
        <v>10</v>
      </c>
      <c r="B6">
        <v>31</v>
      </c>
      <c r="C6">
        <v>54</v>
      </c>
      <c r="D6">
        <v>9</v>
      </c>
      <c r="E6">
        <v>94</v>
      </c>
    </row>
    <row r="7" spans="1:5" x14ac:dyDescent="0.3">
      <c r="A7" s="6" t="s">
        <v>12</v>
      </c>
      <c r="B7">
        <v>23</v>
      </c>
      <c r="C7">
        <v>56</v>
      </c>
      <c r="E7">
        <v>79</v>
      </c>
    </row>
    <row r="8" spans="1:5" x14ac:dyDescent="0.3">
      <c r="A8" s="6" t="s">
        <v>14</v>
      </c>
      <c r="B8">
        <v>54</v>
      </c>
      <c r="C8">
        <v>38</v>
      </c>
      <c r="D8">
        <v>32</v>
      </c>
      <c r="E8">
        <v>124</v>
      </c>
    </row>
    <row r="9" spans="1:5" x14ac:dyDescent="0.3">
      <c r="A9" s="6" t="s">
        <v>16</v>
      </c>
      <c r="B9">
        <v>58</v>
      </c>
      <c r="C9">
        <v>23</v>
      </c>
      <c r="D9">
        <v>20</v>
      </c>
      <c r="E9">
        <v>101</v>
      </c>
    </row>
    <row r="10" spans="1:5" x14ac:dyDescent="0.3">
      <c r="A10" s="6" t="s">
        <v>18</v>
      </c>
      <c r="B10">
        <v>34</v>
      </c>
      <c r="C10">
        <v>19</v>
      </c>
      <c r="E10">
        <v>53</v>
      </c>
    </row>
    <row r="11" spans="1:5" x14ac:dyDescent="0.3">
      <c r="A11" s="6" t="s">
        <v>20</v>
      </c>
      <c r="B11">
        <v>37</v>
      </c>
      <c r="C11">
        <v>11</v>
      </c>
      <c r="E11">
        <v>48</v>
      </c>
    </row>
    <row r="12" spans="1:5" x14ac:dyDescent="0.3">
      <c r="A12" s="6" t="s">
        <v>22</v>
      </c>
      <c r="B12">
        <v>72</v>
      </c>
      <c r="C12">
        <v>25</v>
      </c>
      <c r="D12">
        <v>14</v>
      </c>
      <c r="E12">
        <v>111</v>
      </c>
    </row>
    <row r="13" spans="1:5" x14ac:dyDescent="0.3">
      <c r="A13" s="6" t="s">
        <v>24</v>
      </c>
      <c r="B13">
        <v>33</v>
      </c>
      <c r="C13">
        <v>37</v>
      </c>
      <c r="D13">
        <v>4</v>
      </c>
      <c r="E13">
        <v>74</v>
      </c>
    </row>
    <row r="14" spans="1:5" x14ac:dyDescent="0.3">
      <c r="A14" s="6" t="s">
        <v>26</v>
      </c>
      <c r="B14">
        <v>66</v>
      </c>
      <c r="C14">
        <v>34</v>
      </c>
      <c r="E14">
        <v>100</v>
      </c>
    </row>
    <row r="15" spans="1:5" x14ac:dyDescent="0.3">
      <c r="A15" s="6" t="s">
        <v>29</v>
      </c>
      <c r="B15">
        <v>82</v>
      </c>
      <c r="C15">
        <v>23</v>
      </c>
      <c r="D15">
        <v>16</v>
      </c>
      <c r="E15">
        <v>121</v>
      </c>
    </row>
    <row r="16" spans="1:5" x14ac:dyDescent="0.3">
      <c r="A16" s="6" t="s">
        <v>31</v>
      </c>
      <c r="B16">
        <v>89</v>
      </c>
      <c r="C16">
        <v>19</v>
      </c>
      <c r="D16">
        <v>15</v>
      </c>
      <c r="E16">
        <v>123</v>
      </c>
    </row>
    <row r="17" spans="1:5" x14ac:dyDescent="0.3">
      <c r="A17" s="6" t="s">
        <v>33</v>
      </c>
      <c r="B17">
        <v>39</v>
      </c>
      <c r="C17">
        <v>21</v>
      </c>
      <c r="D17">
        <v>9</v>
      </c>
      <c r="E17">
        <v>69</v>
      </c>
    </row>
    <row r="18" spans="1:5" x14ac:dyDescent="0.3">
      <c r="A18" s="6" t="s">
        <v>35</v>
      </c>
      <c r="B18">
        <v>45</v>
      </c>
      <c r="C18">
        <v>37</v>
      </c>
      <c r="D18">
        <v>5</v>
      </c>
      <c r="E18">
        <v>87</v>
      </c>
    </row>
    <row r="19" spans="1:5" x14ac:dyDescent="0.3">
      <c r="A19" s="6" t="s">
        <v>37</v>
      </c>
      <c r="B19">
        <v>52</v>
      </c>
      <c r="C19">
        <v>50</v>
      </c>
      <c r="D19">
        <v>15</v>
      </c>
      <c r="E19">
        <v>117</v>
      </c>
    </row>
    <row r="20" spans="1:5" x14ac:dyDescent="0.3">
      <c r="A20" s="6" t="s">
        <v>39</v>
      </c>
      <c r="B20">
        <v>62</v>
      </c>
      <c r="C20">
        <v>43</v>
      </c>
      <c r="D20">
        <v>15</v>
      </c>
      <c r="E20">
        <v>120</v>
      </c>
    </row>
    <row r="21" spans="1:5" x14ac:dyDescent="0.3">
      <c r="A21" s="6" t="s">
        <v>41</v>
      </c>
      <c r="B21">
        <v>43</v>
      </c>
      <c r="C21">
        <v>8</v>
      </c>
      <c r="D21">
        <v>12</v>
      </c>
      <c r="E21">
        <v>63</v>
      </c>
    </row>
    <row r="22" spans="1:5" x14ac:dyDescent="0.3">
      <c r="A22" s="6" t="s">
        <v>43</v>
      </c>
      <c r="B22">
        <v>50</v>
      </c>
      <c r="C22">
        <v>19</v>
      </c>
      <c r="D22">
        <v>13</v>
      </c>
      <c r="E22">
        <v>82</v>
      </c>
    </row>
    <row r="23" spans="1:5" x14ac:dyDescent="0.3">
      <c r="A23" s="6" t="s">
        <v>45</v>
      </c>
      <c r="B23">
        <v>52</v>
      </c>
      <c r="C23">
        <v>16</v>
      </c>
      <c r="D23">
        <v>28</v>
      </c>
      <c r="E23">
        <v>96</v>
      </c>
    </row>
    <row r="24" spans="1:5" x14ac:dyDescent="0.3">
      <c r="A24" s="6" t="s">
        <v>47</v>
      </c>
      <c r="B24">
        <v>49</v>
      </c>
      <c r="C24">
        <v>41</v>
      </c>
      <c r="D24">
        <v>15</v>
      </c>
      <c r="E24">
        <v>105</v>
      </c>
    </row>
    <row r="25" spans="1:5" x14ac:dyDescent="0.3">
      <c r="A25" s="6" t="s">
        <v>50</v>
      </c>
      <c r="B25">
        <v>38</v>
      </c>
      <c r="C25">
        <v>28</v>
      </c>
      <c r="E25">
        <v>66</v>
      </c>
    </row>
    <row r="26" spans="1:5" x14ac:dyDescent="0.3">
      <c r="A26" s="6" t="s">
        <v>52</v>
      </c>
      <c r="B26">
        <v>24</v>
      </c>
      <c r="C26">
        <v>28</v>
      </c>
      <c r="D26">
        <v>18</v>
      </c>
      <c r="E26">
        <v>70</v>
      </c>
    </row>
    <row r="27" spans="1:5" x14ac:dyDescent="0.3">
      <c r="A27" s="6" t="s">
        <v>54</v>
      </c>
      <c r="B27">
        <v>47</v>
      </c>
      <c r="C27">
        <v>31</v>
      </c>
      <c r="D27">
        <v>8</v>
      </c>
      <c r="E27">
        <v>86</v>
      </c>
    </row>
    <row r="28" spans="1:5" x14ac:dyDescent="0.3">
      <c r="A28" s="6" t="s">
        <v>56</v>
      </c>
      <c r="C28">
        <v>55</v>
      </c>
      <c r="D28">
        <v>10</v>
      </c>
      <c r="E28">
        <v>65</v>
      </c>
    </row>
    <row r="29" spans="1:5" x14ac:dyDescent="0.3">
      <c r="A29" s="6" t="s">
        <v>58</v>
      </c>
      <c r="B29">
        <v>49</v>
      </c>
      <c r="C29">
        <v>23</v>
      </c>
      <c r="E29">
        <v>72</v>
      </c>
    </row>
    <row r="30" spans="1:5" x14ac:dyDescent="0.3">
      <c r="A30" s="6" t="s">
        <v>60</v>
      </c>
      <c r="B30">
        <v>49</v>
      </c>
      <c r="C30">
        <v>47</v>
      </c>
      <c r="D30">
        <v>16</v>
      </c>
      <c r="E30">
        <v>112</v>
      </c>
    </row>
    <row r="31" spans="1:5" x14ac:dyDescent="0.3">
      <c r="A31" s="6" t="s">
        <v>63</v>
      </c>
      <c r="B31">
        <v>55</v>
      </c>
      <c r="C31">
        <v>40</v>
      </c>
      <c r="D31">
        <v>14</v>
      </c>
      <c r="E31">
        <v>109</v>
      </c>
    </row>
    <row r="32" spans="1:5" x14ac:dyDescent="0.3">
      <c r="A32" s="6" t="s">
        <v>65</v>
      </c>
      <c r="B32">
        <v>80</v>
      </c>
      <c r="C32">
        <v>9</v>
      </c>
      <c r="D32">
        <v>23</v>
      </c>
      <c r="E32">
        <v>112</v>
      </c>
    </row>
    <row r="33" spans="1:5" x14ac:dyDescent="0.3">
      <c r="A33" s="6" t="s">
        <v>67</v>
      </c>
      <c r="B33">
        <v>71</v>
      </c>
      <c r="C33">
        <v>24</v>
      </c>
      <c r="D33">
        <v>9</v>
      </c>
      <c r="E33">
        <v>104</v>
      </c>
    </row>
    <row r="34" spans="1:5" x14ac:dyDescent="0.3">
      <c r="A34" s="6" t="s">
        <v>69</v>
      </c>
      <c r="B34">
        <v>63</v>
      </c>
      <c r="C34">
        <v>42</v>
      </c>
      <c r="D34">
        <v>9</v>
      </c>
      <c r="E34">
        <v>114</v>
      </c>
    </row>
    <row r="35" spans="1:5" x14ac:dyDescent="0.3">
      <c r="A35" s="6" t="s">
        <v>71</v>
      </c>
      <c r="B35">
        <v>32</v>
      </c>
      <c r="C35">
        <v>28</v>
      </c>
      <c r="E35">
        <v>60</v>
      </c>
    </row>
    <row r="36" spans="1:5" x14ac:dyDescent="0.3">
      <c r="A36" s="6" t="s">
        <v>73</v>
      </c>
      <c r="B36">
        <v>63</v>
      </c>
      <c r="C36">
        <v>61</v>
      </c>
      <c r="D36">
        <v>15</v>
      </c>
      <c r="E36">
        <v>139</v>
      </c>
    </row>
    <row r="37" spans="1:5" x14ac:dyDescent="0.3">
      <c r="A37" s="6" t="s">
        <v>75</v>
      </c>
      <c r="B37">
        <v>64</v>
      </c>
      <c r="C37">
        <v>30</v>
      </c>
      <c r="D37">
        <v>20</v>
      </c>
      <c r="E37">
        <v>114</v>
      </c>
    </row>
    <row r="38" spans="1:5" x14ac:dyDescent="0.3">
      <c r="A38" s="6" t="s">
        <v>77</v>
      </c>
      <c r="B38">
        <v>82</v>
      </c>
      <c r="C38">
        <v>45</v>
      </c>
      <c r="D38">
        <v>27</v>
      </c>
      <c r="E38">
        <v>154</v>
      </c>
    </row>
    <row r="39" spans="1:5" x14ac:dyDescent="0.3">
      <c r="A39" s="6" t="s">
        <v>79</v>
      </c>
      <c r="B39">
        <v>71</v>
      </c>
      <c r="C39">
        <v>34</v>
      </c>
      <c r="E39">
        <v>105</v>
      </c>
    </row>
    <row r="40" spans="1:5" x14ac:dyDescent="0.3">
      <c r="A40" s="6" t="s">
        <v>81</v>
      </c>
      <c r="B40">
        <v>22</v>
      </c>
      <c r="C40">
        <v>27</v>
      </c>
      <c r="D40">
        <v>26</v>
      </c>
      <c r="E40">
        <v>75</v>
      </c>
    </row>
    <row r="41" spans="1:5" x14ac:dyDescent="0.3">
      <c r="A41" s="6" t="s">
        <v>83</v>
      </c>
      <c r="B41">
        <v>32</v>
      </c>
      <c r="C41">
        <v>27</v>
      </c>
      <c r="D41">
        <v>1</v>
      </c>
      <c r="E41">
        <v>60</v>
      </c>
    </row>
    <row r="42" spans="1:5" x14ac:dyDescent="0.3">
      <c r="A42" s="6" t="s">
        <v>86</v>
      </c>
      <c r="B42">
        <v>36</v>
      </c>
      <c r="C42">
        <v>55</v>
      </c>
      <c r="D42">
        <v>20</v>
      </c>
      <c r="E42">
        <v>111</v>
      </c>
    </row>
    <row r="43" spans="1:5" x14ac:dyDescent="0.3">
      <c r="A43" s="6" t="s">
        <v>88</v>
      </c>
      <c r="B43">
        <v>42</v>
      </c>
      <c r="C43">
        <v>24</v>
      </c>
      <c r="D43">
        <v>27</v>
      </c>
      <c r="E43">
        <v>93</v>
      </c>
    </row>
    <row r="44" spans="1:5" x14ac:dyDescent="0.3">
      <c r="A44" s="6" t="s">
        <v>90</v>
      </c>
      <c r="B44">
        <v>17</v>
      </c>
      <c r="C44">
        <v>29</v>
      </c>
      <c r="D44">
        <v>21</v>
      </c>
      <c r="E44">
        <v>67</v>
      </c>
    </row>
    <row r="45" spans="1:5" x14ac:dyDescent="0.3">
      <c r="A45" s="6" t="s">
        <v>92</v>
      </c>
      <c r="B45">
        <v>84</v>
      </c>
      <c r="C45">
        <v>22</v>
      </c>
      <c r="D45">
        <v>26</v>
      </c>
      <c r="E45">
        <v>132</v>
      </c>
    </row>
    <row r="46" spans="1:5" x14ac:dyDescent="0.3">
      <c r="A46" s="6" t="s">
        <v>94</v>
      </c>
      <c r="B46">
        <v>68</v>
      </c>
      <c r="C46">
        <v>19</v>
      </c>
      <c r="D46">
        <v>40</v>
      </c>
      <c r="E46">
        <v>127</v>
      </c>
    </row>
    <row r="47" spans="1:5" x14ac:dyDescent="0.3">
      <c r="A47" s="6" t="s">
        <v>96</v>
      </c>
      <c r="B47">
        <v>54</v>
      </c>
      <c r="C47">
        <v>19</v>
      </c>
      <c r="E47">
        <v>73</v>
      </c>
    </row>
    <row r="48" spans="1:5" x14ac:dyDescent="0.3">
      <c r="A48" s="6" t="s">
        <v>98</v>
      </c>
      <c r="B48">
        <v>79</v>
      </c>
      <c r="C48">
        <v>96</v>
      </c>
      <c r="D48">
        <v>24</v>
      </c>
      <c r="E48">
        <v>199</v>
      </c>
    </row>
    <row r="49" spans="1:5" x14ac:dyDescent="0.3">
      <c r="A49" s="6" t="s">
        <v>142</v>
      </c>
      <c r="B49">
        <v>2244</v>
      </c>
      <c r="C49">
        <v>1443</v>
      </c>
      <c r="D49">
        <v>593</v>
      </c>
      <c r="E49">
        <v>4280</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DF7000-1C4B-48E7-8F58-778F4D8F0095}">
  <dimension ref="A3:B7"/>
  <sheetViews>
    <sheetView workbookViewId="0">
      <selection activeCell="J25" sqref="J25"/>
    </sheetView>
  </sheetViews>
  <sheetFormatPr defaultRowHeight="14.4" x14ac:dyDescent="0.3"/>
  <cols>
    <col min="1" max="1" width="12.5546875" customWidth="1"/>
    <col min="2" max="2" width="16.33203125" customWidth="1"/>
  </cols>
  <sheetData>
    <row r="3" spans="1:2" x14ac:dyDescent="0.3">
      <c r="A3" s="5" t="s">
        <v>119</v>
      </c>
      <c r="B3" t="s">
        <v>134</v>
      </c>
    </row>
    <row r="4" spans="1:2" x14ac:dyDescent="0.3">
      <c r="A4" s="6" t="s">
        <v>108</v>
      </c>
      <c r="B4">
        <v>2244</v>
      </c>
    </row>
    <row r="5" spans="1:2" x14ac:dyDescent="0.3">
      <c r="A5" s="6" t="s">
        <v>106</v>
      </c>
      <c r="B5">
        <v>1443</v>
      </c>
    </row>
    <row r="6" spans="1:2" x14ac:dyDescent="0.3">
      <c r="A6" s="6" t="s">
        <v>105</v>
      </c>
      <c r="B6">
        <v>593</v>
      </c>
    </row>
    <row r="7" spans="1:2" x14ac:dyDescent="0.3">
      <c r="A7" s="6" t="s">
        <v>142</v>
      </c>
      <c r="B7">
        <v>4280</v>
      </c>
    </row>
  </sheetData>
  <pageMargins left="0.7" right="0.7" top="0.75" bottom="0.75" header="0.3" footer="0.3"/>
  <pageSetup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C12AC-5669-448D-8268-9F62D538A29C}">
  <dimension ref="A3:B6"/>
  <sheetViews>
    <sheetView workbookViewId="0">
      <selection activeCell="A3" sqref="A3:B6"/>
    </sheetView>
  </sheetViews>
  <sheetFormatPr defaultRowHeight="14.4" x14ac:dyDescent="0.3"/>
  <cols>
    <col min="1" max="1" width="12.5546875" customWidth="1"/>
    <col min="2" max="2" width="16.33203125" customWidth="1"/>
  </cols>
  <sheetData>
    <row r="3" spans="1:2" x14ac:dyDescent="0.3">
      <c r="A3" s="5" t="s">
        <v>119</v>
      </c>
      <c r="B3" t="s">
        <v>134</v>
      </c>
    </row>
    <row r="4" spans="1:2" x14ac:dyDescent="0.3">
      <c r="A4" s="6" t="s">
        <v>145</v>
      </c>
      <c r="B4">
        <v>258</v>
      </c>
    </row>
    <row r="5" spans="1:2" x14ac:dyDescent="0.3">
      <c r="A5" s="6" t="s">
        <v>146</v>
      </c>
      <c r="B5">
        <v>335</v>
      </c>
    </row>
    <row r="6" spans="1:2" x14ac:dyDescent="0.3">
      <c r="A6" s="6" t="s">
        <v>142</v>
      </c>
      <c r="B6">
        <v>593</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9ECF9-CFC9-4A8F-8F22-E5CA1C4D8E36}">
  <dimension ref="A3:B6"/>
  <sheetViews>
    <sheetView workbookViewId="0">
      <selection activeCell="M17" sqref="M17"/>
    </sheetView>
  </sheetViews>
  <sheetFormatPr defaultRowHeight="14.4" x14ac:dyDescent="0.3"/>
  <cols>
    <col min="1" max="1" width="12.5546875" bestFit="1" customWidth="1"/>
    <col min="2" max="2" width="23.33203125" bestFit="1" customWidth="1"/>
    <col min="3" max="4" width="10.77734375" bestFit="1" customWidth="1"/>
    <col min="5" max="16" width="3" bestFit="1" customWidth="1"/>
    <col min="17" max="17" width="10.77734375" bestFit="1" customWidth="1"/>
  </cols>
  <sheetData>
    <row r="3" spans="1:2" x14ac:dyDescent="0.3">
      <c r="A3" s="5" t="s">
        <v>119</v>
      </c>
      <c r="B3" t="s">
        <v>147</v>
      </c>
    </row>
    <row r="4" spans="1:2" x14ac:dyDescent="0.3">
      <c r="A4" s="6" t="s">
        <v>107</v>
      </c>
      <c r="B4">
        <v>264</v>
      </c>
    </row>
    <row r="5" spans="1:2" x14ac:dyDescent="0.3">
      <c r="A5" s="6" t="s">
        <v>106</v>
      </c>
      <c r="B5">
        <v>263</v>
      </c>
    </row>
    <row r="6" spans="1:2" x14ac:dyDescent="0.3">
      <c r="A6" s="6" t="s">
        <v>142</v>
      </c>
      <c r="B6">
        <v>527</v>
      </c>
    </row>
  </sheetData>
  <pageMargins left="0.7" right="0.7" top="0.75" bottom="0.75" header="0.3" footer="0.3"/>
  <pageSetup orientation="portrait" r:id="rId2"/>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AEBDB-DB02-41CB-A8A5-6D121C3EC28C}">
  <dimension ref="A2:B6"/>
  <sheetViews>
    <sheetView workbookViewId="0">
      <selection activeCell="B7" sqref="B7"/>
    </sheetView>
  </sheetViews>
  <sheetFormatPr defaultRowHeight="14.4" x14ac:dyDescent="0.3"/>
  <cols>
    <col min="1" max="1" width="32.88671875" customWidth="1"/>
    <col min="2" max="2" width="20.109375" bestFit="1" customWidth="1"/>
  </cols>
  <sheetData>
    <row r="2" spans="1:2" x14ac:dyDescent="0.3">
      <c r="A2" t="s">
        <v>148</v>
      </c>
      <c r="B2">
        <f>COUNTA('[1]Master Data'!B2:B46)</f>
        <v>45</v>
      </c>
    </row>
    <row r="4" spans="1:2" x14ac:dyDescent="0.3">
      <c r="A4" t="s">
        <v>149</v>
      </c>
      <c r="B4" s="15">
        <f>AVERAGE('[1]Master Data'!E2:E46)</f>
        <v>78.555555555555557</v>
      </c>
    </row>
    <row r="6" spans="1:2" x14ac:dyDescent="0.3">
      <c r="A6" t="s">
        <v>150</v>
      </c>
      <c r="B6" s="16">
        <f>(AVERAGE('[1]Master Data'!F2:F100) - AVERAGE('[1]Master Data'!E2:E100)) / AVERAGE('[1]Master Data'!E2:E100)</f>
        <v>0.20338896746817559</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6BCA6-DF35-4AD0-B1A4-40571F66AE92}">
  <sheetPr>
    <tabColor rgb="FF00B050"/>
  </sheetPr>
  <dimension ref="A1:Q528"/>
  <sheetViews>
    <sheetView topLeftCell="A2" zoomScale="85" zoomScaleNormal="85" workbookViewId="0">
      <selection activeCell="F465" sqref="A2:P528"/>
    </sheetView>
  </sheetViews>
  <sheetFormatPr defaultRowHeight="14.4" x14ac:dyDescent="0.3"/>
  <cols>
    <col min="1" max="1" width="10.33203125" customWidth="1"/>
    <col min="2" max="2" width="15.88671875" customWidth="1"/>
    <col min="3" max="3" width="14.21875" customWidth="1"/>
    <col min="4" max="4" width="14.109375" customWidth="1"/>
    <col min="5" max="5" width="19.77734375" customWidth="1"/>
    <col min="6" max="6" width="16.44140625" customWidth="1"/>
    <col min="7" max="7" width="14" customWidth="1"/>
    <col min="8" max="8" width="14.44140625" customWidth="1"/>
    <col min="9" max="9" width="9.88671875" customWidth="1"/>
    <col min="10" max="10" width="17.21875" customWidth="1"/>
    <col min="11" max="11" width="17.77734375" customWidth="1"/>
    <col min="12" max="12" width="24.21875" customWidth="1"/>
    <col min="13" max="13" width="24.5546875" customWidth="1"/>
  </cols>
  <sheetData>
    <row r="1" spans="1:17" ht="15" thickBot="1" x14ac:dyDescent="0.35">
      <c r="A1" s="2" t="s">
        <v>100</v>
      </c>
      <c r="B1" s="2" t="s">
        <v>0</v>
      </c>
      <c r="C1" s="2" t="s">
        <v>101</v>
      </c>
      <c r="D1" s="2" t="s">
        <v>102</v>
      </c>
      <c r="E1" s="2" t="s">
        <v>103</v>
      </c>
      <c r="F1" s="2" t="s">
        <v>104</v>
      </c>
      <c r="G1" s="2" t="s">
        <v>1</v>
      </c>
      <c r="H1" s="2" t="s">
        <v>2</v>
      </c>
      <c r="I1" s="2" t="s">
        <v>3</v>
      </c>
      <c r="J1" s="3" t="s">
        <v>4</v>
      </c>
      <c r="K1" s="3" t="s">
        <v>5</v>
      </c>
      <c r="L1" s="3" t="s">
        <v>114</v>
      </c>
      <c r="M1" s="3" t="s">
        <v>115</v>
      </c>
      <c r="N1" s="2" t="s">
        <v>116</v>
      </c>
      <c r="O1" s="2" t="s">
        <v>117</v>
      </c>
      <c r="P1" s="2" t="s">
        <v>118</v>
      </c>
    </row>
    <row r="2" spans="1:17" x14ac:dyDescent="0.3">
      <c r="A2" s="10">
        <v>44197</v>
      </c>
      <c r="B2" s="11" t="s">
        <v>56</v>
      </c>
      <c r="C2" s="12">
        <v>9</v>
      </c>
      <c r="D2" s="12" t="s">
        <v>105</v>
      </c>
      <c r="E2" s="12" t="s">
        <v>106</v>
      </c>
      <c r="F2" s="13">
        <v>0</v>
      </c>
      <c r="G2" s="12" t="str">
        <f>VLOOKUP(InputData[[#This Row],[PRODUCT ID]],MasterData[],2,0)</f>
        <v>Product24</v>
      </c>
      <c r="H2" s="12" t="str">
        <f>VLOOKUP(InputData[[#This Row],[PRODUCT ID]],MasterData[],3,0)</f>
        <v>Category03</v>
      </c>
      <c r="I2" s="12" t="str">
        <f>VLOOKUP(InputData[[#This Row],[PRODUCT ID]],MasterData[],4,0)</f>
        <v>Ft</v>
      </c>
      <c r="J2" s="14">
        <f>VLOOKUP(InputData[[#This Row],[PRODUCT ID]],MasterData[],5,0)</f>
        <v>144</v>
      </c>
      <c r="K2" s="14">
        <f>VLOOKUP(InputData[[#This Row],[PRODUCT ID]],MasterData[],5,0)</f>
        <v>144</v>
      </c>
      <c r="L2" s="14">
        <f>InputData[[#This Row],[BUYING PRIZE]]*InputData[[#This Row],[QUANTITY]]</f>
        <v>1296</v>
      </c>
      <c r="M2" s="14">
        <f>InputData[[#This Row],[SELLING PRICE]]*InputData[[#This Row],[QUANTITY]]*(1-InputData[[#This Row],[DISCOUNT %]])</f>
        <v>1296</v>
      </c>
      <c r="N2" s="12">
        <f>DAY(InputData[[#This Row],[DATE]])</f>
        <v>1</v>
      </c>
      <c r="O2" s="12" t="str">
        <f>TEXT(InputData[[#This Row],[DATE]],"mmm")</f>
        <v>Jan</v>
      </c>
      <c r="P2" s="12">
        <f>YEAR(InputData[[#This Row],[DATE]])</f>
        <v>2021</v>
      </c>
      <c r="Q2" s="12"/>
    </row>
    <row r="3" spans="1:17" x14ac:dyDescent="0.3">
      <c r="A3" s="10">
        <v>44198</v>
      </c>
      <c r="B3" s="11" t="s">
        <v>86</v>
      </c>
      <c r="C3" s="12">
        <v>15</v>
      </c>
      <c r="D3" s="12" t="s">
        <v>106</v>
      </c>
      <c r="E3" s="12" t="s">
        <v>107</v>
      </c>
      <c r="F3" s="13">
        <v>0</v>
      </c>
      <c r="G3" s="12" t="str">
        <f>VLOOKUP(InputData[[#This Row],[PRODUCT ID]],MasterData[],2,0)</f>
        <v>Product38</v>
      </c>
      <c r="H3" s="12" t="str">
        <f>VLOOKUP(InputData[[#This Row],[PRODUCT ID]],MasterData[],3,0)</f>
        <v>Category05</v>
      </c>
      <c r="I3" s="12" t="str">
        <f>VLOOKUP(InputData[[#This Row],[PRODUCT ID]],MasterData[],4,0)</f>
        <v>Kg</v>
      </c>
      <c r="J3" s="14">
        <f>VLOOKUP(InputData[[#This Row],[PRODUCT ID]],MasterData[],5,0)</f>
        <v>72</v>
      </c>
      <c r="K3" s="14">
        <f>VLOOKUP(InputData[[#This Row],[PRODUCT ID]],MasterData[],5,0)</f>
        <v>72</v>
      </c>
      <c r="L3" s="14">
        <f>InputData[[#This Row],[BUYING PRIZE]]*InputData[[#This Row],[QUANTITY]]</f>
        <v>1080</v>
      </c>
      <c r="M3" s="14">
        <f>InputData[[#This Row],[SELLING PRICE]]*InputData[[#This Row],[QUANTITY]]*(1-InputData[[#This Row],[DISCOUNT %]])</f>
        <v>1080</v>
      </c>
      <c r="N3" s="12">
        <f>DAY(InputData[[#This Row],[DATE]])</f>
        <v>2</v>
      </c>
      <c r="O3" s="12" t="str">
        <f>TEXT(InputData[[#This Row],[DATE]],"mmm")</f>
        <v>Jan</v>
      </c>
      <c r="P3" s="12">
        <f>YEAR(InputData[[#This Row],[DATE]])</f>
        <v>2021</v>
      </c>
      <c r="Q3" s="12"/>
    </row>
    <row r="4" spans="1:17" x14ac:dyDescent="0.3">
      <c r="A4" s="10">
        <v>44198</v>
      </c>
      <c r="B4" s="11" t="s">
        <v>33</v>
      </c>
      <c r="C4" s="12">
        <v>6</v>
      </c>
      <c r="D4" s="12" t="s">
        <v>108</v>
      </c>
      <c r="E4" s="12" t="s">
        <v>107</v>
      </c>
      <c r="F4" s="13">
        <v>0</v>
      </c>
      <c r="G4" s="12" t="str">
        <f>VLOOKUP(InputData[[#This Row],[PRODUCT ID]],MasterData[],2,0)</f>
        <v>Product13</v>
      </c>
      <c r="H4" s="12" t="str">
        <f>VLOOKUP(InputData[[#This Row],[PRODUCT ID]],MasterData[],3,0)</f>
        <v>Category02</v>
      </c>
      <c r="I4" s="12" t="str">
        <f>VLOOKUP(InputData[[#This Row],[PRODUCT ID]],MasterData[],4,0)</f>
        <v>Kg</v>
      </c>
      <c r="J4" s="14">
        <f>VLOOKUP(InputData[[#This Row],[PRODUCT ID]],MasterData[],5,0)</f>
        <v>112</v>
      </c>
      <c r="K4" s="14">
        <f>VLOOKUP(InputData[[#This Row],[PRODUCT ID]],MasterData[],5,0)</f>
        <v>112</v>
      </c>
      <c r="L4" s="14">
        <f>InputData[[#This Row],[BUYING PRIZE]]*InputData[[#This Row],[QUANTITY]]</f>
        <v>672</v>
      </c>
      <c r="M4" s="14">
        <f>InputData[[#This Row],[SELLING PRICE]]*InputData[[#This Row],[QUANTITY]]*(1-InputData[[#This Row],[DISCOUNT %]])</f>
        <v>672</v>
      </c>
      <c r="N4" s="12">
        <f>DAY(InputData[[#This Row],[DATE]])</f>
        <v>2</v>
      </c>
      <c r="O4" s="12" t="str">
        <f>TEXT(InputData[[#This Row],[DATE]],"mmm")</f>
        <v>Jan</v>
      </c>
      <c r="P4" s="12">
        <f>YEAR(InputData[[#This Row],[DATE]])</f>
        <v>2021</v>
      </c>
      <c r="Q4" s="12"/>
    </row>
    <row r="5" spans="1:17" x14ac:dyDescent="0.3">
      <c r="A5" s="10">
        <v>44199</v>
      </c>
      <c r="B5" s="11" t="s">
        <v>14</v>
      </c>
      <c r="C5" s="12">
        <v>5</v>
      </c>
      <c r="D5" s="12" t="s">
        <v>108</v>
      </c>
      <c r="E5" s="12" t="s">
        <v>106</v>
      </c>
      <c r="F5" s="13">
        <v>0</v>
      </c>
      <c r="G5" s="12" t="str">
        <f>VLOOKUP(InputData[[#This Row],[PRODUCT ID]],MasterData[],2,0)</f>
        <v>Product04</v>
      </c>
      <c r="H5" s="12" t="str">
        <f>VLOOKUP(InputData[[#This Row],[PRODUCT ID]],MasterData[],3,0)</f>
        <v>Category01</v>
      </c>
      <c r="I5" s="12" t="str">
        <f>VLOOKUP(InputData[[#This Row],[PRODUCT ID]],MasterData[],4,0)</f>
        <v>Lt</v>
      </c>
      <c r="J5" s="14">
        <f>VLOOKUP(InputData[[#This Row],[PRODUCT ID]],MasterData[],5,0)</f>
        <v>44</v>
      </c>
      <c r="K5" s="14">
        <f>VLOOKUP(InputData[[#This Row],[PRODUCT ID]],MasterData[],5,0)</f>
        <v>44</v>
      </c>
      <c r="L5" s="14">
        <f>InputData[[#This Row],[BUYING PRIZE]]*InputData[[#This Row],[QUANTITY]]</f>
        <v>220</v>
      </c>
      <c r="M5" s="14">
        <f>InputData[[#This Row],[SELLING PRICE]]*InputData[[#This Row],[QUANTITY]]*(1-InputData[[#This Row],[DISCOUNT %]])</f>
        <v>220</v>
      </c>
      <c r="N5" s="12">
        <f>DAY(InputData[[#This Row],[DATE]])</f>
        <v>3</v>
      </c>
      <c r="O5" s="12" t="str">
        <f>TEXT(InputData[[#This Row],[DATE]],"mmm")</f>
        <v>Jan</v>
      </c>
      <c r="P5" s="12">
        <f>YEAR(InputData[[#This Row],[DATE]])</f>
        <v>2021</v>
      </c>
      <c r="Q5" s="12"/>
    </row>
    <row r="6" spans="1:17" x14ac:dyDescent="0.3">
      <c r="A6" s="10">
        <v>44200</v>
      </c>
      <c r="B6" s="11" t="s">
        <v>79</v>
      </c>
      <c r="C6" s="12">
        <v>12</v>
      </c>
      <c r="D6" s="12" t="s">
        <v>106</v>
      </c>
      <c r="E6" s="12" t="s">
        <v>106</v>
      </c>
      <c r="F6" s="13">
        <v>0</v>
      </c>
      <c r="G6" s="12" t="str">
        <f>VLOOKUP(InputData[[#This Row],[PRODUCT ID]],MasterData[],2,0)</f>
        <v>Product35</v>
      </c>
      <c r="H6" s="12" t="str">
        <f>VLOOKUP(InputData[[#This Row],[PRODUCT ID]],MasterData[],3,0)</f>
        <v>Category04</v>
      </c>
      <c r="I6" s="12" t="str">
        <f>VLOOKUP(InputData[[#This Row],[PRODUCT ID]],MasterData[],4,0)</f>
        <v>No.</v>
      </c>
      <c r="J6" s="14">
        <f>VLOOKUP(InputData[[#This Row],[PRODUCT ID]],MasterData[],5,0)</f>
        <v>5</v>
      </c>
      <c r="K6" s="14">
        <f>VLOOKUP(InputData[[#This Row],[PRODUCT ID]],MasterData[],5,0)</f>
        <v>5</v>
      </c>
      <c r="L6" s="14">
        <f>InputData[[#This Row],[BUYING PRIZE]]*InputData[[#This Row],[QUANTITY]]</f>
        <v>60</v>
      </c>
      <c r="M6" s="14">
        <f>InputData[[#This Row],[SELLING PRICE]]*InputData[[#This Row],[QUANTITY]]*(1-InputData[[#This Row],[DISCOUNT %]])</f>
        <v>60</v>
      </c>
      <c r="N6" s="12">
        <f>DAY(InputData[[#This Row],[DATE]])</f>
        <v>4</v>
      </c>
      <c r="O6" s="12" t="str">
        <f>TEXT(InputData[[#This Row],[DATE]],"mmm")</f>
        <v>Jan</v>
      </c>
      <c r="P6" s="12">
        <f>YEAR(InputData[[#This Row],[DATE]])</f>
        <v>2021</v>
      </c>
      <c r="Q6" s="12"/>
    </row>
    <row r="7" spans="1:17" x14ac:dyDescent="0.3">
      <c r="A7" s="10">
        <v>44205</v>
      </c>
      <c r="B7" s="11" t="s">
        <v>71</v>
      </c>
      <c r="C7" s="12">
        <v>1</v>
      </c>
      <c r="D7" s="12" t="s">
        <v>108</v>
      </c>
      <c r="E7" s="12" t="s">
        <v>107</v>
      </c>
      <c r="F7" s="13">
        <v>0</v>
      </c>
      <c r="G7" s="12" t="str">
        <f>VLOOKUP(InputData[[#This Row],[PRODUCT ID]],MasterData[],2,0)</f>
        <v>Product31</v>
      </c>
      <c r="H7" s="12" t="str">
        <f>VLOOKUP(InputData[[#This Row],[PRODUCT ID]],MasterData[],3,0)</f>
        <v>Category04</v>
      </c>
      <c r="I7" s="12" t="str">
        <f>VLOOKUP(InputData[[#This Row],[PRODUCT ID]],MasterData[],4,0)</f>
        <v>Kg</v>
      </c>
      <c r="J7" s="14">
        <f>VLOOKUP(InputData[[#This Row],[PRODUCT ID]],MasterData[],5,0)</f>
        <v>93</v>
      </c>
      <c r="K7" s="14">
        <f>VLOOKUP(InputData[[#This Row],[PRODUCT ID]],MasterData[],5,0)</f>
        <v>93</v>
      </c>
      <c r="L7" s="14">
        <f>InputData[[#This Row],[BUYING PRIZE]]*InputData[[#This Row],[QUANTITY]]</f>
        <v>93</v>
      </c>
      <c r="M7" s="14">
        <f>InputData[[#This Row],[SELLING PRICE]]*InputData[[#This Row],[QUANTITY]]*(1-InputData[[#This Row],[DISCOUNT %]])</f>
        <v>93</v>
      </c>
      <c r="N7" s="12">
        <f>DAY(InputData[[#This Row],[DATE]])</f>
        <v>9</v>
      </c>
      <c r="O7" s="12" t="str">
        <f>TEXT(InputData[[#This Row],[DATE]],"mmm")</f>
        <v>Jan</v>
      </c>
      <c r="P7" s="12">
        <f>YEAR(InputData[[#This Row],[DATE]])</f>
        <v>2021</v>
      </c>
      <c r="Q7" s="12"/>
    </row>
    <row r="8" spans="1:17" x14ac:dyDescent="0.3">
      <c r="A8" s="10">
        <v>44205</v>
      </c>
      <c r="B8" s="11" t="s">
        <v>12</v>
      </c>
      <c r="C8" s="12">
        <v>8</v>
      </c>
      <c r="D8" s="12" t="s">
        <v>108</v>
      </c>
      <c r="E8" s="12" t="s">
        <v>107</v>
      </c>
      <c r="F8" s="13">
        <v>0</v>
      </c>
      <c r="G8" s="12" t="str">
        <f>VLOOKUP(InputData[[#This Row],[PRODUCT ID]],MasterData[],2,0)</f>
        <v>Product03</v>
      </c>
      <c r="H8" s="12" t="str">
        <f>VLOOKUP(InputData[[#This Row],[PRODUCT ID]],MasterData[],3,0)</f>
        <v>Category01</v>
      </c>
      <c r="I8" s="12" t="str">
        <f>VLOOKUP(InputData[[#This Row],[PRODUCT ID]],MasterData[],4,0)</f>
        <v>Kg</v>
      </c>
      <c r="J8" s="14">
        <f>VLOOKUP(InputData[[#This Row],[PRODUCT ID]],MasterData[],5,0)</f>
        <v>71</v>
      </c>
      <c r="K8" s="14">
        <f>VLOOKUP(InputData[[#This Row],[PRODUCT ID]],MasterData[],5,0)</f>
        <v>71</v>
      </c>
      <c r="L8" s="14">
        <f>InputData[[#This Row],[BUYING PRIZE]]*InputData[[#This Row],[QUANTITY]]</f>
        <v>568</v>
      </c>
      <c r="M8" s="14">
        <f>InputData[[#This Row],[SELLING PRICE]]*InputData[[#This Row],[QUANTITY]]*(1-InputData[[#This Row],[DISCOUNT %]])</f>
        <v>568</v>
      </c>
      <c r="N8" s="12">
        <f>DAY(InputData[[#This Row],[DATE]])</f>
        <v>9</v>
      </c>
      <c r="O8" s="12" t="str">
        <f>TEXT(InputData[[#This Row],[DATE]],"mmm")</f>
        <v>Jan</v>
      </c>
      <c r="P8" s="12">
        <f>YEAR(InputData[[#This Row],[DATE]])</f>
        <v>2021</v>
      </c>
      <c r="Q8" s="12"/>
    </row>
    <row r="9" spans="1:17" x14ac:dyDescent="0.3">
      <c r="A9" s="10">
        <v>44205</v>
      </c>
      <c r="B9" s="11" t="s">
        <v>58</v>
      </c>
      <c r="C9" s="12">
        <v>4</v>
      </c>
      <c r="D9" s="12" t="s">
        <v>108</v>
      </c>
      <c r="E9" s="12" t="s">
        <v>106</v>
      </c>
      <c r="F9" s="13">
        <v>0</v>
      </c>
      <c r="G9" s="12" t="str">
        <f>VLOOKUP(InputData[[#This Row],[PRODUCT ID]],MasterData[],2,0)</f>
        <v>Product25</v>
      </c>
      <c r="H9" s="12" t="str">
        <f>VLOOKUP(InputData[[#This Row],[PRODUCT ID]],MasterData[],3,0)</f>
        <v>Category03</v>
      </c>
      <c r="I9" s="12" t="str">
        <f>VLOOKUP(InputData[[#This Row],[PRODUCT ID]],MasterData[],4,0)</f>
        <v>No.</v>
      </c>
      <c r="J9" s="14">
        <f>VLOOKUP(InputData[[#This Row],[PRODUCT ID]],MasterData[],5,0)</f>
        <v>7</v>
      </c>
      <c r="K9" s="14">
        <f>VLOOKUP(InputData[[#This Row],[PRODUCT ID]],MasterData[],5,0)</f>
        <v>7</v>
      </c>
      <c r="L9" s="14">
        <f>InputData[[#This Row],[BUYING PRIZE]]*InputData[[#This Row],[QUANTITY]]</f>
        <v>28</v>
      </c>
      <c r="M9" s="14">
        <f>InputData[[#This Row],[SELLING PRICE]]*InputData[[#This Row],[QUANTITY]]*(1-InputData[[#This Row],[DISCOUNT %]])</f>
        <v>28</v>
      </c>
      <c r="N9" s="12">
        <f>DAY(InputData[[#This Row],[DATE]])</f>
        <v>9</v>
      </c>
      <c r="O9" s="12" t="str">
        <f>TEXT(InputData[[#This Row],[DATE]],"mmm")</f>
        <v>Jan</v>
      </c>
      <c r="P9" s="12">
        <f>YEAR(InputData[[#This Row],[DATE]])</f>
        <v>2021</v>
      </c>
      <c r="Q9" s="12"/>
    </row>
    <row r="10" spans="1:17" x14ac:dyDescent="0.3">
      <c r="A10" s="10">
        <v>44207</v>
      </c>
      <c r="B10" s="11" t="s">
        <v>83</v>
      </c>
      <c r="C10" s="12">
        <v>3</v>
      </c>
      <c r="D10" s="12" t="s">
        <v>108</v>
      </c>
      <c r="E10" s="12" t="s">
        <v>107</v>
      </c>
      <c r="F10" s="13">
        <v>0</v>
      </c>
      <c r="G10" s="12" t="str">
        <f>VLOOKUP(InputData[[#This Row],[PRODUCT ID]],MasterData[],2,0)</f>
        <v>Product37</v>
      </c>
      <c r="H10" s="12" t="str">
        <f>VLOOKUP(InputData[[#This Row],[PRODUCT ID]],MasterData[],3,0)</f>
        <v>Category05</v>
      </c>
      <c r="I10" s="12" t="str">
        <f>VLOOKUP(InputData[[#This Row],[PRODUCT ID]],MasterData[],4,0)</f>
        <v>Kg</v>
      </c>
      <c r="J10" s="14">
        <f>VLOOKUP(InputData[[#This Row],[PRODUCT ID]],MasterData[],5,0)</f>
        <v>67</v>
      </c>
      <c r="K10" s="14">
        <f>VLOOKUP(InputData[[#This Row],[PRODUCT ID]],MasterData[],5,0)</f>
        <v>67</v>
      </c>
      <c r="L10" s="14">
        <f>InputData[[#This Row],[BUYING PRIZE]]*InputData[[#This Row],[QUANTITY]]</f>
        <v>201</v>
      </c>
      <c r="M10" s="14">
        <f>InputData[[#This Row],[SELLING PRICE]]*InputData[[#This Row],[QUANTITY]]*(1-InputData[[#This Row],[DISCOUNT %]])</f>
        <v>201</v>
      </c>
      <c r="N10" s="12">
        <f>DAY(InputData[[#This Row],[DATE]])</f>
        <v>11</v>
      </c>
      <c r="O10" s="12" t="str">
        <f>TEXT(InputData[[#This Row],[DATE]],"mmm")</f>
        <v>Jan</v>
      </c>
      <c r="P10" s="12">
        <f>YEAR(InputData[[#This Row],[DATE]])</f>
        <v>2021</v>
      </c>
      <c r="Q10" s="12"/>
    </row>
    <row r="11" spans="1:17" x14ac:dyDescent="0.3">
      <c r="A11" s="10">
        <v>44207</v>
      </c>
      <c r="B11" s="11" t="s">
        <v>35</v>
      </c>
      <c r="C11" s="12">
        <v>4</v>
      </c>
      <c r="D11" s="12" t="s">
        <v>105</v>
      </c>
      <c r="E11" s="12" t="s">
        <v>106</v>
      </c>
      <c r="F11" s="13">
        <v>0</v>
      </c>
      <c r="G11" s="12" t="str">
        <f>VLOOKUP(InputData[[#This Row],[PRODUCT ID]],MasterData[],2,0)</f>
        <v>Product14</v>
      </c>
      <c r="H11" s="12" t="str">
        <f>VLOOKUP(InputData[[#This Row],[PRODUCT ID]],MasterData[],3,0)</f>
        <v>Category02</v>
      </c>
      <c r="I11" s="12" t="str">
        <f>VLOOKUP(InputData[[#This Row],[PRODUCT ID]],MasterData[],4,0)</f>
        <v>Kg</v>
      </c>
      <c r="J11" s="14">
        <f>VLOOKUP(InputData[[#This Row],[PRODUCT ID]],MasterData[],5,0)</f>
        <v>112</v>
      </c>
      <c r="K11" s="14">
        <f>VLOOKUP(InputData[[#This Row],[PRODUCT ID]],MasterData[],5,0)</f>
        <v>112</v>
      </c>
      <c r="L11" s="14">
        <f>InputData[[#This Row],[BUYING PRIZE]]*InputData[[#This Row],[QUANTITY]]</f>
        <v>448</v>
      </c>
      <c r="M11" s="14">
        <f>InputData[[#This Row],[SELLING PRICE]]*InputData[[#This Row],[QUANTITY]]*(1-InputData[[#This Row],[DISCOUNT %]])</f>
        <v>448</v>
      </c>
      <c r="N11" s="12">
        <f>DAY(InputData[[#This Row],[DATE]])</f>
        <v>11</v>
      </c>
      <c r="O11" s="12" t="str">
        <f>TEXT(InputData[[#This Row],[DATE]],"mmm")</f>
        <v>Jan</v>
      </c>
      <c r="P11" s="12">
        <f>YEAR(InputData[[#This Row],[DATE]])</f>
        <v>2021</v>
      </c>
      <c r="Q11" s="12"/>
    </row>
    <row r="12" spans="1:17" x14ac:dyDescent="0.3">
      <c r="A12" s="10">
        <v>44207</v>
      </c>
      <c r="B12" s="11" t="s">
        <v>94</v>
      </c>
      <c r="C12" s="12">
        <v>4</v>
      </c>
      <c r="D12" s="12" t="s">
        <v>108</v>
      </c>
      <c r="E12" s="12" t="s">
        <v>106</v>
      </c>
      <c r="F12" s="13">
        <v>0</v>
      </c>
      <c r="G12" s="12" t="str">
        <f>VLOOKUP(InputData[[#This Row],[PRODUCT ID]],MasterData[],2,0)</f>
        <v>Product42</v>
      </c>
      <c r="H12" s="12" t="str">
        <f>VLOOKUP(InputData[[#This Row],[PRODUCT ID]],MasterData[],3,0)</f>
        <v>Category05</v>
      </c>
      <c r="I12" s="12" t="str">
        <f>VLOOKUP(InputData[[#This Row],[PRODUCT ID]],MasterData[],4,0)</f>
        <v>Ft</v>
      </c>
      <c r="J12" s="14">
        <f>VLOOKUP(InputData[[#This Row],[PRODUCT ID]],MasterData[],5,0)</f>
        <v>120</v>
      </c>
      <c r="K12" s="14">
        <f>VLOOKUP(InputData[[#This Row],[PRODUCT ID]],MasterData[],5,0)</f>
        <v>120</v>
      </c>
      <c r="L12" s="14">
        <f>InputData[[#This Row],[BUYING PRIZE]]*InputData[[#This Row],[QUANTITY]]</f>
        <v>480</v>
      </c>
      <c r="M12" s="14">
        <f>InputData[[#This Row],[SELLING PRICE]]*InputData[[#This Row],[QUANTITY]]*(1-InputData[[#This Row],[DISCOUNT %]])</f>
        <v>480</v>
      </c>
      <c r="N12" s="12">
        <f>DAY(InputData[[#This Row],[DATE]])</f>
        <v>11</v>
      </c>
      <c r="O12" s="12" t="str">
        <f>TEXT(InputData[[#This Row],[DATE]],"mmm")</f>
        <v>Jan</v>
      </c>
      <c r="P12" s="12">
        <f>YEAR(InputData[[#This Row],[DATE]])</f>
        <v>2021</v>
      </c>
      <c r="Q12" s="12"/>
    </row>
    <row r="13" spans="1:17" x14ac:dyDescent="0.3">
      <c r="A13" s="10">
        <v>44208</v>
      </c>
      <c r="B13" s="11" t="s">
        <v>94</v>
      </c>
      <c r="C13" s="12">
        <v>10</v>
      </c>
      <c r="D13" s="12" t="s">
        <v>106</v>
      </c>
      <c r="E13" s="12" t="s">
        <v>107</v>
      </c>
      <c r="F13" s="13">
        <v>0</v>
      </c>
      <c r="G13" s="12" t="str">
        <f>VLOOKUP(InputData[[#This Row],[PRODUCT ID]],MasterData[],2,0)</f>
        <v>Product42</v>
      </c>
      <c r="H13" s="12" t="str">
        <f>VLOOKUP(InputData[[#This Row],[PRODUCT ID]],MasterData[],3,0)</f>
        <v>Category05</v>
      </c>
      <c r="I13" s="12" t="str">
        <f>VLOOKUP(InputData[[#This Row],[PRODUCT ID]],MasterData[],4,0)</f>
        <v>Ft</v>
      </c>
      <c r="J13" s="14">
        <f>VLOOKUP(InputData[[#This Row],[PRODUCT ID]],MasterData[],5,0)</f>
        <v>120</v>
      </c>
      <c r="K13" s="14">
        <f>VLOOKUP(InputData[[#This Row],[PRODUCT ID]],MasterData[],5,0)</f>
        <v>120</v>
      </c>
      <c r="L13" s="14">
        <f>InputData[[#This Row],[BUYING PRIZE]]*InputData[[#This Row],[QUANTITY]]</f>
        <v>1200</v>
      </c>
      <c r="M13" s="14">
        <f>InputData[[#This Row],[SELLING PRICE]]*InputData[[#This Row],[QUANTITY]]*(1-InputData[[#This Row],[DISCOUNT %]])</f>
        <v>1200</v>
      </c>
      <c r="N13" s="12">
        <f>DAY(InputData[[#This Row],[DATE]])</f>
        <v>12</v>
      </c>
      <c r="O13" s="12" t="str">
        <f>TEXT(InputData[[#This Row],[DATE]],"mmm")</f>
        <v>Jan</v>
      </c>
      <c r="P13" s="12">
        <f>YEAR(InputData[[#This Row],[DATE]])</f>
        <v>2021</v>
      </c>
      <c r="Q13" s="12"/>
    </row>
    <row r="14" spans="1:17" x14ac:dyDescent="0.3">
      <c r="A14" s="10">
        <v>44214</v>
      </c>
      <c r="B14" s="11" t="s">
        <v>98</v>
      </c>
      <c r="C14" s="12">
        <v>13</v>
      </c>
      <c r="D14" s="12" t="s">
        <v>108</v>
      </c>
      <c r="E14" s="12" t="s">
        <v>106</v>
      </c>
      <c r="F14" s="13">
        <v>0</v>
      </c>
      <c r="G14" s="12" t="str">
        <f>VLOOKUP(InputData[[#This Row],[PRODUCT ID]],MasterData[],2,0)</f>
        <v>Product44</v>
      </c>
      <c r="H14" s="12" t="str">
        <f>VLOOKUP(InputData[[#This Row],[PRODUCT ID]],MasterData[],3,0)</f>
        <v>Category05</v>
      </c>
      <c r="I14" s="12" t="str">
        <f>VLOOKUP(InputData[[#This Row],[PRODUCT ID]],MasterData[],4,0)</f>
        <v>Kg</v>
      </c>
      <c r="J14" s="14">
        <f>VLOOKUP(InputData[[#This Row],[PRODUCT ID]],MasterData[],5,0)</f>
        <v>76</v>
      </c>
      <c r="K14" s="14">
        <f>VLOOKUP(InputData[[#This Row],[PRODUCT ID]],MasterData[],5,0)</f>
        <v>76</v>
      </c>
      <c r="L14" s="14">
        <f>InputData[[#This Row],[BUYING PRIZE]]*InputData[[#This Row],[QUANTITY]]</f>
        <v>988</v>
      </c>
      <c r="M14" s="14">
        <f>InputData[[#This Row],[SELLING PRICE]]*InputData[[#This Row],[QUANTITY]]*(1-InputData[[#This Row],[DISCOUNT %]])</f>
        <v>988</v>
      </c>
      <c r="N14" s="12">
        <f>DAY(InputData[[#This Row],[DATE]])</f>
        <v>18</v>
      </c>
      <c r="O14" s="12" t="str">
        <f>TEXT(InputData[[#This Row],[DATE]],"mmm")</f>
        <v>Jan</v>
      </c>
      <c r="P14" s="12">
        <f>YEAR(InputData[[#This Row],[DATE]])</f>
        <v>2021</v>
      </c>
      <c r="Q14" s="12"/>
    </row>
    <row r="15" spans="1:17" x14ac:dyDescent="0.3">
      <c r="A15" s="10">
        <v>44214</v>
      </c>
      <c r="B15" s="11" t="s">
        <v>54</v>
      </c>
      <c r="C15" s="12">
        <v>3</v>
      </c>
      <c r="D15" s="12" t="s">
        <v>106</v>
      </c>
      <c r="E15" s="12" t="s">
        <v>107</v>
      </c>
      <c r="F15" s="13">
        <v>0</v>
      </c>
      <c r="G15" s="12" t="str">
        <f>VLOOKUP(InputData[[#This Row],[PRODUCT ID]],MasterData[],2,0)</f>
        <v>Product23</v>
      </c>
      <c r="H15" s="12" t="str">
        <f>VLOOKUP(InputData[[#This Row],[PRODUCT ID]],MasterData[],3,0)</f>
        <v>Category03</v>
      </c>
      <c r="I15" s="12" t="str">
        <f>VLOOKUP(InputData[[#This Row],[PRODUCT ID]],MasterData[],4,0)</f>
        <v>Ft</v>
      </c>
      <c r="J15" s="14">
        <f>VLOOKUP(InputData[[#This Row],[PRODUCT ID]],MasterData[],5,0)</f>
        <v>141</v>
      </c>
      <c r="K15" s="14">
        <f>VLOOKUP(InputData[[#This Row],[PRODUCT ID]],MasterData[],5,0)</f>
        <v>141</v>
      </c>
      <c r="L15" s="14">
        <f>InputData[[#This Row],[BUYING PRIZE]]*InputData[[#This Row],[QUANTITY]]</f>
        <v>423</v>
      </c>
      <c r="M15" s="14">
        <f>InputData[[#This Row],[SELLING PRICE]]*InputData[[#This Row],[QUANTITY]]*(1-InputData[[#This Row],[DISCOUNT %]])</f>
        <v>423</v>
      </c>
      <c r="N15" s="12">
        <f>DAY(InputData[[#This Row],[DATE]])</f>
        <v>18</v>
      </c>
      <c r="O15" s="12" t="str">
        <f>TEXT(InputData[[#This Row],[DATE]],"mmm")</f>
        <v>Jan</v>
      </c>
      <c r="P15" s="12">
        <f>YEAR(InputData[[#This Row],[DATE]])</f>
        <v>2021</v>
      </c>
      <c r="Q15" s="12"/>
    </row>
    <row r="16" spans="1:17" x14ac:dyDescent="0.3">
      <c r="A16" s="10">
        <v>44215</v>
      </c>
      <c r="B16" s="11" t="s">
        <v>79</v>
      </c>
      <c r="C16" s="12">
        <v>6</v>
      </c>
      <c r="D16" s="12" t="s">
        <v>108</v>
      </c>
      <c r="E16" s="12" t="s">
        <v>107</v>
      </c>
      <c r="F16" s="13">
        <v>0</v>
      </c>
      <c r="G16" s="12" t="str">
        <f>VLOOKUP(InputData[[#This Row],[PRODUCT ID]],MasterData[],2,0)</f>
        <v>Product35</v>
      </c>
      <c r="H16" s="12" t="str">
        <f>VLOOKUP(InputData[[#This Row],[PRODUCT ID]],MasterData[],3,0)</f>
        <v>Category04</v>
      </c>
      <c r="I16" s="12" t="str">
        <f>VLOOKUP(InputData[[#This Row],[PRODUCT ID]],MasterData[],4,0)</f>
        <v>No.</v>
      </c>
      <c r="J16" s="14">
        <f>VLOOKUP(InputData[[#This Row],[PRODUCT ID]],MasterData[],5,0)</f>
        <v>5</v>
      </c>
      <c r="K16" s="14">
        <f>VLOOKUP(InputData[[#This Row],[PRODUCT ID]],MasterData[],5,0)</f>
        <v>5</v>
      </c>
      <c r="L16" s="14">
        <f>InputData[[#This Row],[BUYING PRIZE]]*InputData[[#This Row],[QUANTITY]]</f>
        <v>30</v>
      </c>
      <c r="M16" s="14">
        <f>InputData[[#This Row],[SELLING PRICE]]*InputData[[#This Row],[QUANTITY]]*(1-InputData[[#This Row],[DISCOUNT %]])</f>
        <v>30</v>
      </c>
      <c r="N16" s="12">
        <f>DAY(InputData[[#This Row],[DATE]])</f>
        <v>19</v>
      </c>
      <c r="O16" s="12" t="str">
        <f>TEXT(InputData[[#This Row],[DATE]],"mmm")</f>
        <v>Jan</v>
      </c>
      <c r="P16" s="12">
        <f>YEAR(InputData[[#This Row],[DATE]])</f>
        <v>2021</v>
      </c>
      <c r="Q16" s="12"/>
    </row>
    <row r="17" spans="1:17" x14ac:dyDescent="0.3">
      <c r="A17" s="10">
        <v>44216</v>
      </c>
      <c r="B17" s="11" t="s">
        <v>77</v>
      </c>
      <c r="C17" s="12">
        <v>4</v>
      </c>
      <c r="D17" s="12" t="s">
        <v>108</v>
      </c>
      <c r="E17" s="12" t="s">
        <v>107</v>
      </c>
      <c r="F17" s="13">
        <v>0</v>
      </c>
      <c r="G17" s="12" t="str">
        <f>VLOOKUP(InputData[[#This Row],[PRODUCT ID]],MasterData[],2,0)</f>
        <v>Product34</v>
      </c>
      <c r="H17" s="12" t="str">
        <f>VLOOKUP(InputData[[#This Row],[PRODUCT ID]],MasterData[],3,0)</f>
        <v>Category04</v>
      </c>
      <c r="I17" s="12" t="str">
        <f>VLOOKUP(InputData[[#This Row],[PRODUCT ID]],MasterData[],4,0)</f>
        <v>Lt</v>
      </c>
      <c r="J17" s="14">
        <f>VLOOKUP(InputData[[#This Row],[PRODUCT ID]],MasterData[],5,0)</f>
        <v>55</v>
      </c>
      <c r="K17" s="14">
        <f>VLOOKUP(InputData[[#This Row],[PRODUCT ID]],MasterData[],5,0)</f>
        <v>55</v>
      </c>
      <c r="L17" s="14">
        <f>InputData[[#This Row],[BUYING PRIZE]]*InputData[[#This Row],[QUANTITY]]</f>
        <v>220</v>
      </c>
      <c r="M17" s="14">
        <f>InputData[[#This Row],[SELLING PRICE]]*InputData[[#This Row],[QUANTITY]]*(1-InputData[[#This Row],[DISCOUNT %]])</f>
        <v>220</v>
      </c>
      <c r="N17" s="12">
        <f>DAY(InputData[[#This Row],[DATE]])</f>
        <v>20</v>
      </c>
      <c r="O17" s="12" t="str">
        <f>TEXT(InputData[[#This Row],[DATE]],"mmm")</f>
        <v>Jan</v>
      </c>
      <c r="P17" s="12">
        <f>YEAR(InputData[[#This Row],[DATE]])</f>
        <v>2021</v>
      </c>
      <c r="Q17" s="12"/>
    </row>
    <row r="18" spans="1:17" x14ac:dyDescent="0.3">
      <c r="A18" s="10">
        <v>44216</v>
      </c>
      <c r="B18" s="11" t="s">
        <v>47</v>
      </c>
      <c r="C18" s="12">
        <v>4</v>
      </c>
      <c r="D18" s="12" t="s">
        <v>108</v>
      </c>
      <c r="E18" s="12" t="s">
        <v>107</v>
      </c>
      <c r="F18" s="13">
        <v>0</v>
      </c>
      <c r="G18" s="12" t="str">
        <f>VLOOKUP(InputData[[#This Row],[PRODUCT ID]],MasterData[],2,0)</f>
        <v>Product20</v>
      </c>
      <c r="H18" s="12" t="str">
        <f>VLOOKUP(InputData[[#This Row],[PRODUCT ID]],MasterData[],3,0)</f>
        <v>Category03</v>
      </c>
      <c r="I18" s="12" t="str">
        <f>VLOOKUP(InputData[[#This Row],[PRODUCT ID]],MasterData[],4,0)</f>
        <v>Lt</v>
      </c>
      <c r="J18" s="14">
        <f>VLOOKUP(InputData[[#This Row],[PRODUCT ID]],MasterData[],5,0)</f>
        <v>61</v>
      </c>
      <c r="K18" s="14">
        <f>VLOOKUP(InputData[[#This Row],[PRODUCT ID]],MasterData[],5,0)</f>
        <v>61</v>
      </c>
      <c r="L18" s="14">
        <f>InputData[[#This Row],[BUYING PRIZE]]*InputData[[#This Row],[QUANTITY]]</f>
        <v>244</v>
      </c>
      <c r="M18" s="14">
        <f>InputData[[#This Row],[SELLING PRICE]]*InputData[[#This Row],[QUANTITY]]*(1-InputData[[#This Row],[DISCOUNT %]])</f>
        <v>244</v>
      </c>
      <c r="N18" s="12">
        <f>DAY(InputData[[#This Row],[DATE]])</f>
        <v>20</v>
      </c>
      <c r="O18" s="12" t="str">
        <f>TEXT(InputData[[#This Row],[DATE]],"mmm")</f>
        <v>Jan</v>
      </c>
      <c r="P18" s="12">
        <f>YEAR(InputData[[#This Row],[DATE]])</f>
        <v>2021</v>
      </c>
      <c r="Q18" s="12"/>
    </row>
    <row r="19" spans="1:17" x14ac:dyDescent="0.3">
      <c r="A19" s="10">
        <v>44217</v>
      </c>
      <c r="B19" s="11" t="s">
        <v>14</v>
      </c>
      <c r="C19" s="12">
        <v>15</v>
      </c>
      <c r="D19" s="12" t="s">
        <v>105</v>
      </c>
      <c r="E19" s="12" t="s">
        <v>107</v>
      </c>
      <c r="F19" s="13">
        <v>0</v>
      </c>
      <c r="G19" s="12" t="str">
        <f>VLOOKUP(InputData[[#This Row],[PRODUCT ID]],MasterData[],2,0)</f>
        <v>Product04</v>
      </c>
      <c r="H19" s="12" t="str">
        <f>VLOOKUP(InputData[[#This Row],[PRODUCT ID]],MasterData[],3,0)</f>
        <v>Category01</v>
      </c>
      <c r="I19" s="12" t="str">
        <f>VLOOKUP(InputData[[#This Row],[PRODUCT ID]],MasterData[],4,0)</f>
        <v>Lt</v>
      </c>
      <c r="J19" s="14">
        <f>VLOOKUP(InputData[[#This Row],[PRODUCT ID]],MasterData[],5,0)</f>
        <v>44</v>
      </c>
      <c r="K19" s="14">
        <f>VLOOKUP(InputData[[#This Row],[PRODUCT ID]],MasterData[],5,0)</f>
        <v>44</v>
      </c>
      <c r="L19" s="14">
        <f>InputData[[#This Row],[BUYING PRIZE]]*InputData[[#This Row],[QUANTITY]]</f>
        <v>660</v>
      </c>
      <c r="M19" s="14">
        <f>InputData[[#This Row],[SELLING PRICE]]*InputData[[#This Row],[QUANTITY]]*(1-InputData[[#This Row],[DISCOUNT %]])</f>
        <v>660</v>
      </c>
      <c r="N19" s="12">
        <f>DAY(InputData[[#This Row],[DATE]])</f>
        <v>21</v>
      </c>
      <c r="O19" s="12" t="str">
        <f>TEXT(InputData[[#This Row],[DATE]],"mmm")</f>
        <v>Jan</v>
      </c>
      <c r="P19" s="12">
        <f>YEAR(InputData[[#This Row],[DATE]])</f>
        <v>2021</v>
      </c>
      <c r="Q19" s="12"/>
    </row>
    <row r="20" spans="1:17" x14ac:dyDescent="0.3">
      <c r="A20" s="10">
        <v>44217</v>
      </c>
      <c r="B20" s="11" t="s">
        <v>12</v>
      </c>
      <c r="C20" s="12">
        <v>9</v>
      </c>
      <c r="D20" s="12" t="s">
        <v>108</v>
      </c>
      <c r="E20" s="12" t="s">
        <v>106</v>
      </c>
      <c r="F20" s="13">
        <v>0</v>
      </c>
      <c r="G20" s="12" t="str">
        <f>VLOOKUP(InputData[[#This Row],[PRODUCT ID]],MasterData[],2,0)</f>
        <v>Product03</v>
      </c>
      <c r="H20" s="12" t="str">
        <f>VLOOKUP(InputData[[#This Row],[PRODUCT ID]],MasterData[],3,0)</f>
        <v>Category01</v>
      </c>
      <c r="I20" s="12" t="str">
        <f>VLOOKUP(InputData[[#This Row],[PRODUCT ID]],MasterData[],4,0)</f>
        <v>Kg</v>
      </c>
      <c r="J20" s="14">
        <f>VLOOKUP(InputData[[#This Row],[PRODUCT ID]],MasterData[],5,0)</f>
        <v>71</v>
      </c>
      <c r="K20" s="14">
        <f>VLOOKUP(InputData[[#This Row],[PRODUCT ID]],MasterData[],5,0)</f>
        <v>71</v>
      </c>
      <c r="L20" s="14">
        <f>InputData[[#This Row],[BUYING PRIZE]]*InputData[[#This Row],[QUANTITY]]</f>
        <v>639</v>
      </c>
      <c r="M20" s="14">
        <f>InputData[[#This Row],[SELLING PRICE]]*InputData[[#This Row],[QUANTITY]]*(1-InputData[[#This Row],[DISCOUNT %]])</f>
        <v>639</v>
      </c>
      <c r="N20" s="12">
        <f>DAY(InputData[[#This Row],[DATE]])</f>
        <v>21</v>
      </c>
      <c r="O20" s="12" t="str">
        <f>TEXT(InputData[[#This Row],[DATE]],"mmm")</f>
        <v>Jan</v>
      </c>
      <c r="P20" s="12">
        <f>YEAR(InputData[[#This Row],[DATE]])</f>
        <v>2021</v>
      </c>
      <c r="Q20" s="12"/>
    </row>
    <row r="21" spans="1:17" x14ac:dyDescent="0.3">
      <c r="A21" s="10">
        <v>44217</v>
      </c>
      <c r="B21" s="11" t="s">
        <v>94</v>
      </c>
      <c r="C21" s="12">
        <v>6</v>
      </c>
      <c r="D21" s="12" t="s">
        <v>108</v>
      </c>
      <c r="E21" s="12" t="s">
        <v>106</v>
      </c>
      <c r="F21" s="13">
        <v>0</v>
      </c>
      <c r="G21" s="12" t="str">
        <f>VLOOKUP(InputData[[#This Row],[PRODUCT ID]],MasterData[],2,0)</f>
        <v>Product42</v>
      </c>
      <c r="H21" s="12" t="str">
        <f>VLOOKUP(InputData[[#This Row],[PRODUCT ID]],MasterData[],3,0)</f>
        <v>Category05</v>
      </c>
      <c r="I21" s="12" t="str">
        <f>VLOOKUP(InputData[[#This Row],[PRODUCT ID]],MasterData[],4,0)</f>
        <v>Ft</v>
      </c>
      <c r="J21" s="14">
        <f>VLOOKUP(InputData[[#This Row],[PRODUCT ID]],MasterData[],5,0)</f>
        <v>120</v>
      </c>
      <c r="K21" s="14">
        <f>VLOOKUP(InputData[[#This Row],[PRODUCT ID]],MasterData[],5,0)</f>
        <v>120</v>
      </c>
      <c r="L21" s="14">
        <f>InputData[[#This Row],[BUYING PRIZE]]*InputData[[#This Row],[QUANTITY]]</f>
        <v>720</v>
      </c>
      <c r="M21" s="14">
        <f>InputData[[#This Row],[SELLING PRICE]]*InputData[[#This Row],[QUANTITY]]*(1-InputData[[#This Row],[DISCOUNT %]])</f>
        <v>720</v>
      </c>
      <c r="N21" s="12">
        <f>DAY(InputData[[#This Row],[DATE]])</f>
        <v>21</v>
      </c>
      <c r="O21" s="12" t="str">
        <f>TEXT(InputData[[#This Row],[DATE]],"mmm")</f>
        <v>Jan</v>
      </c>
      <c r="P21" s="12">
        <f>YEAR(InputData[[#This Row],[DATE]])</f>
        <v>2021</v>
      </c>
      <c r="Q21" s="12"/>
    </row>
    <row r="22" spans="1:17" x14ac:dyDescent="0.3">
      <c r="A22" s="10">
        <v>44221</v>
      </c>
      <c r="B22" s="11" t="s">
        <v>77</v>
      </c>
      <c r="C22" s="12">
        <v>6</v>
      </c>
      <c r="D22" s="12" t="s">
        <v>108</v>
      </c>
      <c r="E22" s="12" t="s">
        <v>107</v>
      </c>
      <c r="F22" s="13">
        <v>0</v>
      </c>
      <c r="G22" s="12" t="str">
        <f>VLOOKUP(InputData[[#This Row],[PRODUCT ID]],MasterData[],2,0)</f>
        <v>Product34</v>
      </c>
      <c r="H22" s="12" t="str">
        <f>VLOOKUP(InputData[[#This Row],[PRODUCT ID]],MasterData[],3,0)</f>
        <v>Category04</v>
      </c>
      <c r="I22" s="12" t="str">
        <f>VLOOKUP(InputData[[#This Row],[PRODUCT ID]],MasterData[],4,0)</f>
        <v>Lt</v>
      </c>
      <c r="J22" s="14">
        <f>VLOOKUP(InputData[[#This Row],[PRODUCT ID]],MasterData[],5,0)</f>
        <v>55</v>
      </c>
      <c r="K22" s="14">
        <f>VLOOKUP(InputData[[#This Row],[PRODUCT ID]],MasterData[],5,0)</f>
        <v>55</v>
      </c>
      <c r="L22" s="14">
        <f>InputData[[#This Row],[BUYING PRIZE]]*InputData[[#This Row],[QUANTITY]]</f>
        <v>330</v>
      </c>
      <c r="M22" s="14">
        <f>InputData[[#This Row],[SELLING PRICE]]*InputData[[#This Row],[QUANTITY]]*(1-InputData[[#This Row],[DISCOUNT %]])</f>
        <v>330</v>
      </c>
      <c r="N22" s="12">
        <f>DAY(InputData[[#This Row],[DATE]])</f>
        <v>25</v>
      </c>
      <c r="O22" s="12" t="str">
        <f>TEXT(InputData[[#This Row],[DATE]],"mmm")</f>
        <v>Jan</v>
      </c>
      <c r="P22" s="12">
        <f>YEAR(InputData[[#This Row],[DATE]])</f>
        <v>2021</v>
      </c>
      <c r="Q22" s="12"/>
    </row>
    <row r="23" spans="1:17" x14ac:dyDescent="0.3">
      <c r="A23" s="10">
        <v>44221</v>
      </c>
      <c r="B23" s="11" t="s">
        <v>79</v>
      </c>
      <c r="C23" s="12">
        <v>7</v>
      </c>
      <c r="D23" s="12" t="s">
        <v>108</v>
      </c>
      <c r="E23" s="12" t="s">
        <v>106</v>
      </c>
      <c r="F23" s="13">
        <v>0</v>
      </c>
      <c r="G23" s="12" t="str">
        <f>VLOOKUP(InputData[[#This Row],[PRODUCT ID]],MasterData[],2,0)</f>
        <v>Product35</v>
      </c>
      <c r="H23" s="12" t="str">
        <f>VLOOKUP(InputData[[#This Row],[PRODUCT ID]],MasterData[],3,0)</f>
        <v>Category04</v>
      </c>
      <c r="I23" s="12" t="str">
        <f>VLOOKUP(InputData[[#This Row],[PRODUCT ID]],MasterData[],4,0)</f>
        <v>No.</v>
      </c>
      <c r="J23" s="14">
        <f>VLOOKUP(InputData[[#This Row],[PRODUCT ID]],MasterData[],5,0)</f>
        <v>5</v>
      </c>
      <c r="K23" s="14">
        <f>VLOOKUP(InputData[[#This Row],[PRODUCT ID]],MasterData[],5,0)</f>
        <v>5</v>
      </c>
      <c r="L23" s="14">
        <f>InputData[[#This Row],[BUYING PRIZE]]*InputData[[#This Row],[QUANTITY]]</f>
        <v>35</v>
      </c>
      <c r="M23" s="14">
        <f>InputData[[#This Row],[SELLING PRICE]]*InputData[[#This Row],[QUANTITY]]*(1-InputData[[#This Row],[DISCOUNT %]])</f>
        <v>35</v>
      </c>
      <c r="N23" s="12">
        <f>DAY(InputData[[#This Row],[DATE]])</f>
        <v>25</v>
      </c>
      <c r="O23" s="12" t="str">
        <f>TEXT(InputData[[#This Row],[DATE]],"mmm")</f>
        <v>Jan</v>
      </c>
      <c r="P23" s="12">
        <f>YEAR(InputData[[#This Row],[DATE]])</f>
        <v>2021</v>
      </c>
      <c r="Q23" s="12"/>
    </row>
    <row r="24" spans="1:17" x14ac:dyDescent="0.3">
      <c r="A24" s="10">
        <v>44221</v>
      </c>
      <c r="B24" s="11" t="s">
        <v>71</v>
      </c>
      <c r="C24" s="12">
        <v>14</v>
      </c>
      <c r="D24" s="12" t="s">
        <v>108</v>
      </c>
      <c r="E24" s="12" t="s">
        <v>106</v>
      </c>
      <c r="F24" s="13">
        <v>0</v>
      </c>
      <c r="G24" s="12" t="str">
        <f>VLOOKUP(InputData[[#This Row],[PRODUCT ID]],MasterData[],2,0)</f>
        <v>Product31</v>
      </c>
      <c r="H24" s="12" t="str">
        <f>VLOOKUP(InputData[[#This Row],[PRODUCT ID]],MasterData[],3,0)</f>
        <v>Category04</v>
      </c>
      <c r="I24" s="12" t="str">
        <f>VLOOKUP(InputData[[#This Row],[PRODUCT ID]],MasterData[],4,0)</f>
        <v>Kg</v>
      </c>
      <c r="J24" s="14">
        <f>VLOOKUP(InputData[[#This Row],[PRODUCT ID]],MasterData[],5,0)</f>
        <v>93</v>
      </c>
      <c r="K24" s="14">
        <f>VLOOKUP(InputData[[#This Row],[PRODUCT ID]],MasterData[],5,0)</f>
        <v>93</v>
      </c>
      <c r="L24" s="14">
        <f>InputData[[#This Row],[BUYING PRIZE]]*InputData[[#This Row],[QUANTITY]]</f>
        <v>1302</v>
      </c>
      <c r="M24" s="14">
        <f>InputData[[#This Row],[SELLING PRICE]]*InputData[[#This Row],[QUANTITY]]*(1-InputData[[#This Row],[DISCOUNT %]])</f>
        <v>1302</v>
      </c>
      <c r="N24" s="12">
        <f>DAY(InputData[[#This Row],[DATE]])</f>
        <v>25</v>
      </c>
      <c r="O24" s="12" t="str">
        <f>TEXT(InputData[[#This Row],[DATE]],"mmm")</f>
        <v>Jan</v>
      </c>
      <c r="P24" s="12">
        <f>YEAR(InputData[[#This Row],[DATE]])</f>
        <v>2021</v>
      </c>
      <c r="Q24" s="12"/>
    </row>
    <row r="25" spans="1:17" x14ac:dyDescent="0.3">
      <c r="A25" s="10">
        <v>44222</v>
      </c>
      <c r="B25" s="11" t="s">
        <v>98</v>
      </c>
      <c r="C25" s="12">
        <v>9</v>
      </c>
      <c r="D25" s="12" t="s">
        <v>105</v>
      </c>
      <c r="E25" s="12" t="s">
        <v>107</v>
      </c>
      <c r="F25" s="13">
        <v>0</v>
      </c>
      <c r="G25" s="12" t="str">
        <f>VLOOKUP(InputData[[#This Row],[PRODUCT ID]],MasterData[],2,0)</f>
        <v>Product44</v>
      </c>
      <c r="H25" s="12" t="str">
        <f>VLOOKUP(InputData[[#This Row],[PRODUCT ID]],MasterData[],3,0)</f>
        <v>Category05</v>
      </c>
      <c r="I25" s="12" t="str">
        <f>VLOOKUP(InputData[[#This Row],[PRODUCT ID]],MasterData[],4,0)</f>
        <v>Kg</v>
      </c>
      <c r="J25" s="14">
        <f>VLOOKUP(InputData[[#This Row],[PRODUCT ID]],MasterData[],5,0)</f>
        <v>76</v>
      </c>
      <c r="K25" s="14">
        <f>VLOOKUP(InputData[[#This Row],[PRODUCT ID]],MasterData[],5,0)</f>
        <v>76</v>
      </c>
      <c r="L25" s="14">
        <f>InputData[[#This Row],[BUYING PRIZE]]*InputData[[#This Row],[QUANTITY]]</f>
        <v>684</v>
      </c>
      <c r="M25" s="14">
        <f>InputData[[#This Row],[SELLING PRICE]]*InputData[[#This Row],[QUANTITY]]*(1-InputData[[#This Row],[DISCOUNT %]])</f>
        <v>684</v>
      </c>
      <c r="N25" s="12">
        <f>DAY(InputData[[#This Row],[DATE]])</f>
        <v>26</v>
      </c>
      <c r="O25" s="12" t="str">
        <f>TEXT(InputData[[#This Row],[DATE]],"mmm")</f>
        <v>Jan</v>
      </c>
      <c r="P25" s="12">
        <f>YEAR(InputData[[#This Row],[DATE]])</f>
        <v>2021</v>
      </c>
      <c r="Q25" s="12"/>
    </row>
    <row r="26" spans="1:17" x14ac:dyDescent="0.3">
      <c r="A26" s="10">
        <v>44222</v>
      </c>
      <c r="B26" s="11" t="s">
        <v>18</v>
      </c>
      <c r="C26" s="12">
        <v>7</v>
      </c>
      <c r="D26" s="12" t="s">
        <v>106</v>
      </c>
      <c r="E26" s="12" t="s">
        <v>107</v>
      </c>
      <c r="F26" s="13">
        <v>0</v>
      </c>
      <c r="G26" s="12" t="str">
        <f>VLOOKUP(InputData[[#This Row],[PRODUCT ID]],MasterData[],2,0)</f>
        <v>Product06</v>
      </c>
      <c r="H26" s="12" t="str">
        <f>VLOOKUP(InputData[[#This Row],[PRODUCT ID]],MasterData[],3,0)</f>
        <v>Category01</v>
      </c>
      <c r="I26" s="12" t="str">
        <f>VLOOKUP(InputData[[#This Row],[PRODUCT ID]],MasterData[],4,0)</f>
        <v>Kg</v>
      </c>
      <c r="J26" s="14">
        <f>VLOOKUP(InputData[[#This Row],[PRODUCT ID]],MasterData[],5,0)</f>
        <v>75</v>
      </c>
      <c r="K26" s="14">
        <f>VLOOKUP(InputData[[#This Row],[PRODUCT ID]],MasterData[],5,0)</f>
        <v>75</v>
      </c>
      <c r="L26" s="14">
        <f>InputData[[#This Row],[BUYING PRIZE]]*InputData[[#This Row],[QUANTITY]]</f>
        <v>525</v>
      </c>
      <c r="M26" s="14">
        <f>InputData[[#This Row],[SELLING PRICE]]*InputData[[#This Row],[QUANTITY]]*(1-InputData[[#This Row],[DISCOUNT %]])</f>
        <v>525</v>
      </c>
      <c r="N26" s="12">
        <f>DAY(InputData[[#This Row],[DATE]])</f>
        <v>26</v>
      </c>
      <c r="O26" s="12" t="str">
        <f>TEXT(InputData[[#This Row],[DATE]],"mmm")</f>
        <v>Jan</v>
      </c>
      <c r="P26" s="12">
        <f>YEAR(InputData[[#This Row],[DATE]])</f>
        <v>2021</v>
      </c>
      <c r="Q26" s="12"/>
    </row>
    <row r="27" spans="1:17" x14ac:dyDescent="0.3">
      <c r="A27" s="10">
        <v>44222</v>
      </c>
      <c r="B27" s="11" t="s">
        <v>6</v>
      </c>
      <c r="C27" s="12">
        <v>7</v>
      </c>
      <c r="D27" s="12" t="s">
        <v>106</v>
      </c>
      <c r="E27" s="12" t="s">
        <v>106</v>
      </c>
      <c r="F27" s="13">
        <v>0</v>
      </c>
      <c r="G27" s="12" t="str">
        <f>VLOOKUP(InputData[[#This Row],[PRODUCT ID]],MasterData[],2,0)</f>
        <v>Product01</v>
      </c>
      <c r="H27" s="12" t="str">
        <f>VLOOKUP(InputData[[#This Row],[PRODUCT ID]],MasterData[],3,0)</f>
        <v>Category01</v>
      </c>
      <c r="I27" s="12" t="str">
        <f>VLOOKUP(InputData[[#This Row],[PRODUCT ID]],MasterData[],4,0)</f>
        <v>Kg</v>
      </c>
      <c r="J27" s="14">
        <f>VLOOKUP(InputData[[#This Row],[PRODUCT ID]],MasterData[],5,0)</f>
        <v>98</v>
      </c>
      <c r="K27" s="14">
        <f>VLOOKUP(InputData[[#This Row],[PRODUCT ID]],MasterData[],5,0)</f>
        <v>98</v>
      </c>
      <c r="L27" s="14">
        <f>InputData[[#This Row],[BUYING PRIZE]]*InputData[[#This Row],[QUANTITY]]</f>
        <v>686</v>
      </c>
      <c r="M27" s="14">
        <f>InputData[[#This Row],[SELLING PRICE]]*InputData[[#This Row],[QUANTITY]]*(1-InputData[[#This Row],[DISCOUNT %]])</f>
        <v>686</v>
      </c>
      <c r="N27" s="12">
        <f>DAY(InputData[[#This Row],[DATE]])</f>
        <v>26</v>
      </c>
      <c r="O27" s="12" t="str">
        <f>TEXT(InputData[[#This Row],[DATE]],"mmm")</f>
        <v>Jan</v>
      </c>
      <c r="P27" s="12">
        <f>YEAR(InputData[[#This Row],[DATE]])</f>
        <v>2021</v>
      </c>
      <c r="Q27" s="12"/>
    </row>
    <row r="28" spans="1:17" x14ac:dyDescent="0.3">
      <c r="A28" s="10">
        <v>44223</v>
      </c>
      <c r="B28" s="11" t="s">
        <v>90</v>
      </c>
      <c r="C28" s="12">
        <v>7</v>
      </c>
      <c r="D28" s="12" t="s">
        <v>105</v>
      </c>
      <c r="E28" s="12" t="s">
        <v>106</v>
      </c>
      <c r="F28" s="13">
        <v>0</v>
      </c>
      <c r="G28" s="12" t="str">
        <f>VLOOKUP(InputData[[#This Row],[PRODUCT ID]],MasterData[],2,0)</f>
        <v>Product40</v>
      </c>
      <c r="H28" s="12" t="str">
        <f>VLOOKUP(InputData[[#This Row],[PRODUCT ID]],MasterData[],3,0)</f>
        <v>Category05</v>
      </c>
      <c r="I28" s="12" t="str">
        <f>VLOOKUP(InputData[[#This Row],[PRODUCT ID]],MasterData[],4,0)</f>
        <v>Kg</v>
      </c>
      <c r="J28" s="14">
        <f>VLOOKUP(InputData[[#This Row],[PRODUCT ID]],MasterData[],5,0)</f>
        <v>90</v>
      </c>
      <c r="K28" s="14">
        <f>VLOOKUP(InputData[[#This Row],[PRODUCT ID]],MasterData[],5,0)</f>
        <v>90</v>
      </c>
      <c r="L28" s="14">
        <f>InputData[[#This Row],[BUYING PRIZE]]*InputData[[#This Row],[QUANTITY]]</f>
        <v>630</v>
      </c>
      <c r="M28" s="14">
        <f>InputData[[#This Row],[SELLING PRICE]]*InputData[[#This Row],[QUANTITY]]*(1-InputData[[#This Row],[DISCOUNT %]])</f>
        <v>630</v>
      </c>
      <c r="N28" s="12">
        <f>DAY(InputData[[#This Row],[DATE]])</f>
        <v>27</v>
      </c>
      <c r="O28" s="12" t="str">
        <f>TEXT(InputData[[#This Row],[DATE]],"mmm")</f>
        <v>Jan</v>
      </c>
      <c r="P28" s="12">
        <f>YEAR(InputData[[#This Row],[DATE]])</f>
        <v>2021</v>
      </c>
      <c r="Q28" s="12"/>
    </row>
    <row r="29" spans="1:17" x14ac:dyDescent="0.3">
      <c r="A29" s="10">
        <v>44223</v>
      </c>
      <c r="B29" s="11" t="s">
        <v>73</v>
      </c>
      <c r="C29" s="12">
        <v>3</v>
      </c>
      <c r="D29" s="12" t="s">
        <v>105</v>
      </c>
      <c r="E29" s="12" t="s">
        <v>106</v>
      </c>
      <c r="F29" s="13">
        <v>0</v>
      </c>
      <c r="G29" s="12" t="str">
        <f>VLOOKUP(InputData[[#This Row],[PRODUCT ID]],MasterData[],2,0)</f>
        <v>Product32</v>
      </c>
      <c r="H29" s="12" t="str">
        <f>VLOOKUP(InputData[[#This Row],[PRODUCT ID]],MasterData[],3,0)</f>
        <v>Category04</v>
      </c>
      <c r="I29" s="12" t="str">
        <f>VLOOKUP(InputData[[#This Row],[PRODUCT ID]],MasterData[],4,0)</f>
        <v>Kg</v>
      </c>
      <c r="J29" s="14">
        <f>VLOOKUP(InputData[[#This Row],[PRODUCT ID]],MasterData[],5,0)</f>
        <v>89</v>
      </c>
      <c r="K29" s="14">
        <f>VLOOKUP(InputData[[#This Row],[PRODUCT ID]],MasterData[],5,0)</f>
        <v>89</v>
      </c>
      <c r="L29" s="14">
        <f>InputData[[#This Row],[BUYING PRIZE]]*InputData[[#This Row],[QUANTITY]]</f>
        <v>267</v>
      </c>
      <c r="M29" s="14">
        <f>InputData[[#This Row],[SELLING PRICE]]*InputData[[#This Row],[QUANTITY]]*(1-InputData[[#This Row],[DISCOUNT %]])</f>
        <v>267</v>
      </c>
      <c r="N29" s="12">
        <f>DAY(InputData[[#This Row],[DATE]])</f>
        <v>27</v>
      </c>
      <c r="O29" s="12" t="str">
        <f>TEXT(InputData[[#This Row],[DATE]],"mmm")</f>
        <v>Jan</v>
      </c>
      <c r="P29" s="12">
        <f>YEAR(InputData[[#This Row],[DATE]])</f>
        <v>2021</v>
      </c>
      <c r="Q29" s="12"/>
    </row>
    <row r="30" spans="1:17" x14ac:dyDescent="0.3">
      <c r="A30" s="10">
        <v>44224</v>
      </c>
      <c r="B30" s="11" t="s">
        <v>14</v>
      </c>
      <c r="C30" s="12">
        <v>10</v>
      </c>
      <c r="D30" s="12" t="s">
        <v>106</v>
      </c>
      <c r="E30" s="12" t="s">
        <v>107</v>
      </c>
      <c r="F30" s="13">
        <v>0</v>
      </c>
      <c r="G30" s="12" t="str">
        <f>VLOOKUP(InputData[[#This Row],[PRODUCT ID]],MasterData[],2,0)</f>
        <v>Product04</v>
      </c>
      <c r="H30" s="12" t="str">
        <f>VLOOKUP(InputData[[#This Row],[PRODUCT ID]],MasterData[],3,0)</f>
        <v>Category01</v>
      </c>
      <c r="I30" s="12" t="str">
        <f>VLOOKUP(InputData[[#This Row],[PRODUCT ID]],MasterData[],4,0)</f>
        <v>Lt</v>
      </c>
      <c r="J30" s="14">
        <f>VLOOKUP(InputData[[#This Row],[PRODUCT ID]],MasterData[],5,0)</f>
        <v>44</v>
      </c>
      <c r="K30" s="14">
        <f>VLOOKUP(InputData[[#This Row],[PRODUCT ID]],MasterData[],5,0)</f>
        <v>44</v>
      </c>
      <c r="L30" s="14">
        <f>InputData[[#This Row],[BUYING PRIZE]]*InputData[[#This Row],[QUANTITY]]</f>
        <v>440</v>
      </c>
      <c r="M30" s="14">
        <f>InputData[[#This Row],[SELLING PRICE]]*InputData[[#This Row],[QUANTITY]]*(1-InputData[[#This Row],[DISCOUNT %]])</f>
        <v>440</v>
      </c>
      <c r="N30" s="12">
        <f>DAY(InputData[[#This Row],[DATE]])</f>
        <v>28</v>
      </c>
      <c r="O30" s="12" t="str">
        <f>TEXT(InputData[[#This Row],[DATE]],"mmm")</f>
        <v>Jan</v>
      </c>
      <c r="P30" s="12">
        <f>YEAR(InputData[[#This Row],[DATE]])</f>
        <v>2021</v>
      </c>
      <c r="Q30" s="12"/>
    </row>
    <row r="31" spans="1:17" x14ac:dyDescent="0.3">
      <c r="A31" s="10">
        <v>44224</v>
      </c>
      <c r="B31" s="11" t="s">
        <v>67</v>
      </c>
      <c r="C31" s="12">
        <v>2</v>
      </c>
      <c r="D31" s="12" t="s">
        <v>108</v>
      </c>
      <c r="E31" s="12" t="s">
        <v>107</v>
      </c>
      <c r="F31" s="13">
        <v>0</v>
      </c>
      <c r="G31" s="12" t="str">
        <f>VLOOKUP(InputData[[#This Row],[PRODUCT ID]],MasterData[],2,0)</f>
        <v>Product29</v>
      </c>
      <c r="H31" s="12" t="str">
        <f>VLOOKUP(InputData[[#This Row],[PRODUCT ID]],MasterData[],3,0)</f>
        <v>Category04</v>
      </c>
      <c r="I31" s="12" t="str">
        <f>VLOOKUP(InputData[[#This Row],[PRODUCT ID]],MasterData[],4,0)</f>
        <v>Lt</v>
      </c>
      <c r="J31" s="14">
        <f>VLOOKUP(InputData[[#This Row],[PRODUCT ID]],MasterData[],5,0)</f>
        <v>47</v>
      </c>
      <c r="K31" s="14">
        <f>VLOOKUP(InputData[[#This Row],[PRODUCT ID]],MasterData[],5,0)</f>
        <v>47</v>
      </c>
      <c r="L31" s="14">
        <f>InputData[[#This Row],[BUYING PRIZE]]*InputData[[#This Row],[QUANTITY]]</f>
        <v>94</v>
      </c>
      <c r="M31" s="14">
        <f>InputData[[#This Row],[SELLING PRICE]]*InputData[[#This Row],[QUANTITY]]*(1-InputData[[#This Row],[DISCOUNT %]])</f>
        <v>94</v>
      </c>
      <c r="N31" s="12">
        <f>DAY(InputData[[#This Row],[DATE]])</f>
        <v>28</v>
      </c>
      <c r="O31" s="12" t="str">
        <f>TEXT(InputData[[#This Row],[DATE]],"mmm")</f>
        <v>Jan</v>
      </c>
      <c r="P31" s="12">
        <f>YEAR(InputData[[#This Row],[DATE]])</f>
        <v>2021</v>
      </c>
      <c r="Q31" s="12"/>
    </row>
    <row r="32" spans="1:17" x14ac:dyDescent="0.3">
      <c r="A32" s="10">
        <v>44229</v>
      </c>
      <c r="B32" s="11" t="s">
        <v>26</v>
      </c>
      <c r="C32" s="12">
        <v>7</v>
      </c>
      <c r="D32" s="12" t="s">
        <v>106</v>
      </c>
      <c r="E32" s="12" t="s">
        <v>106</v>
      </c>
      <c r="F32" s="13">
        <v>0</v>
      </c>
      <c r="G32" s="12" t="str">
        <f>VLOOKUP(InputData[[#This Row],[PRODUCT ID]],MasterData[],2,0)</f>
        <v>Product10</v>
      </c>
      <c r="H32" s="12" t="str">
        <f>VLOOKUP(InputData[[#This Row],[PRODUCT ID]],MasterData[],3,0)</f>
        <v>Category02</v>
      </c>
      <c r="I32" s="12" t="str">
        <f>VLOOKUP(InputData[[#This Row],[PRODUCT ID]],MasterData[],4,0)</f>
        <v>Ft</v>
      </c>
      <c r="J32" s="14">
        <f>VLOOKUP(InputData[[#This Row],[PRODUCT ID]],MasterData[],5,0)</f>
        <v>148</v>
      </c>
      <c r="K32" s="14">
        <f>VLOOKUP(InputData[[#This Row],[PRODUCT ID]],MasterData[],5,0)</f>
        <v>148</v>
      </c>
      <c r="L32" s="14">
        <f>InputData[[#This Row],[BUYING PRIZE]]*InputData[[#This Row],[QUANTITY]]</f>
        <v>1036</v>
      </c>
      <c r="M32" s="14">
        <f>InputData[[#This Row],[SELLING PRICE]]*InputData[[#This Row],[QUANTITY]]*(1-InputData[[#This Row],[DISCOUNT %]])</f>
        <v>1036</v>
      </c>
      <c r="N32" s="12">
        <f>DAY(InputData[[#This Row],[DATE]])</f>
        <v>2</v>
      </c>
      <c r="O32" s="12" t="str">
        <f>TEXT(InputData[[#This Row],[DATE]],"mmm")</f>
        <v>Feb</v>
      </c>
      <c r="P32" s="12">
        <f>YEAR(InputData[[#This Row],[DATE]])</f>
        <v>2021</v>
      </c>
      <c r="Q32" s="12"/>
    </row>
    <row r="33" spans="1:17" x14ac:dyDescent="0.3">
      <c r="A33" s="10">
        <v>44230</v>
      </c>
      <c r="B33" s="11" t="s">
        <v>39</v>
      </c>
      <c r="C33" s="12">
        <v>13</v>
      </c>
      <c r="D33" s="12" t="s">
        <v>108</v>
      </c>
      <c r="E33" s="12" t="s">
        <v>106</v>
      </c>
      <c r="F33" s="13">
        <v>0</v>
      </c>
      <c r="G33" s="12" t="str">
        <f>VLOOKUP(InputData[[#This Row],[PRODUCT ID]],MasterData[],2,0)</f>
        <v>Product16</v>
      </c>
      <c r="H33" s="12" t="str">
        <f>VLOOKUP(InputData[[#This Row],[PRODUCT ID]],MasterData[],3,0)</f>
        <v>Category02</v>
      </c>
      <c r="I33" s="12" t="str">
        <f>VLOOKUP(InputData[[#This Row],[PRODUCT ID]],MasterData[],4,0)</f>
        <v>No.</v>
      </c>
      <c r="J33" s="14">
        <f>VLOOKUP(InputData[[#This Row],[PRODUCT ID]],MasterData[],5,0)</f>
        <v>13</v>
      </c>
      <c r="K33" s="14">
        <f>VLOOKUP(InputData[[#This Row],[PRODUCT ID]],MasterData[],5,0)</f>
        <v>13</v>
      </c>
      <c r="L33" s="14">
        <f>InputData[[#This Row],[BUYING PRIZE]]*InputData[[#This Row],[QUANTITY]]</f>
        <v>169</v>
      </c>
      <c r="M33" s="14">
        <f>InputData[[#This Row],[SELLING PRICE]]*InputData[[#This Row],[QUANTITY]]*(1-InputData[[#This Row],[DISCOUNT %]])</f>
        <v>169</v>
      </c>
      <c r="N33" s="12">
        <f>DAY(InputData[[#This Row],[DATE]])</f>
        <v>3</v>
      </c>
      <c r="O33" s="12" t="str">
        <f>TEXT(InputData[[#This Row],[DATE]],"mmm")</f>
        <v>Feb</v>
      </c>
      <c r="P33" s="12">
        <f>YEAR(InputData[[#This Row],[DATE]])</f>
        <v>2021</v>
      </c>
      <c r="Q33" s="12"/>
    </row>
    <row r="34" spans="1:17" x14ac:dyDescent="0.3">
      <c r="A34" s="10">
        <v>44230</v>
      </c>
      <c r="B34" s="11" t="s">
        <v>52</v>
      </c>
      <c r="C34" s="12">
        <v>2</v>
      </c>
      <c r="D34" s="12" t="s">
        <v>105</v>
      </c>
      <c r="E34" s="12" t="s">
        <v>107</v>
      </c>
      <c r="F34" s="13">
        <v>0</v>
      </c>
      <c r="G34" s="12" t="str">
        <f>VLOOKUP(InputData[[#This Row],[PRODUCT ID]],MasterData[],2,0)</f>
        <v>Product22</v>
      </c>
      <c r="H34" s="12" t="str">
        <f>VLOOKUP(InputData[[#This Row],[PRODUCT ID]],MasterData[],3,0)</f>
        <v>Category03</v>
      </c>
      <c r="I34" s="12" t="str">
        <f>VLOOKUP(InputData[[#This Row],[PRODUCT ID]],MasterData[],4,0)</f>
        <v>Ft</v>
      </c>
      <c r="J34" s="14">
        <f>VLOOKUP(InputData[[#This Row],[PRODUCT ID]],MasterData[],5,0)</f>
        <v>121</v>
      </c>
      <c r="K34" s="14">
        <f>VLOOKUP(InputData[[#This Row],[PRODUCT ID]],MasterData[],5,0)</f>
        <v>121</v>
      </c>
      <c r="L34" s="14">
        <f>InputData[[#This Row],[BUYING PRIZE]]*InputData[[#This Row],[QUANTITY]]</f>
        <v>242</v>
      </c>
      <c r="M34" s="14">
        <f>InputData[[#This Row],[SELLING PRICE]]*InputData[[#This Row],[QUANTITY]]*(1-InputData[[#This Row],[DISCOUNT %]])</f>
        <v>242</v>
      </c>
      <c r="N34" s="12">
        <f>DAY(InputData[[#This Row],[DATE]])</f>
        <v>3</v>
      </c>
      <c r="O34" s="12" t="str">
        <f>TEXT(InputData[[#This Row],[DATE]],"mmm")</f>
        <v>Feb</v>
      </c>
      <c r="P34" s="12">
        <f>YEAR(InputData[[#This Row],[DATE]])</f>
        <v>2021</v>
      </c>
      <c r="Q34" s="12"/>
    </row>
    <row r="35" spans="1:17" x14ac:dyDescent="0.3">
      <c r="A35" s="10">
        <v>44231</v>
      </c>
      <c r="B35" s="11" t="s">
        <v>83</v>
      </c>
      <c r="C35" s="12">
        <v>4</v>
      </c>
      <c r="D35" s="12" t="s">
        <v>106</v>
      </c>
      <c r="E35" s="12" t="s">
        <v>106</v>
      </c>
      <c r="F35" s="13">
        <v>0</v>
      </c>
      <c r="G35" s="12" t="str">
        <f>VLOOKUP(InputData[[#This Row],[PRODUCT ID]],MasterData[],2,0)</f>
        <v>Product37</v>
      </c>
      <c r="H35" s="12" t="str">
        <f>VLOOKUP(InputData[[#This Row],[PRODUCT ID]],MasterData[],3,0)</f>
        <v>Category05</v>
      </c>
      <c r="I35" s="12" t="str">
        <f>VLOOKUP(InputData[[#This Row],[PRODUCT ID]],MasterData[],4,0)</f>
        <v>Kg</v>
      </c>
      <c r="J35" s="14">
        <f>VLOOKUP(InputData[[#This Row],[PRODUCT ID]],MasterData[],5,0)</f>
        <v>67</v>
      </c>
      <c r="K35" s="14">
        <f>VLOOKUP(InputData[[#This Row],[PRODUCT ID]],MasterData[],5,0)</f>
        <v>67</v>
      </c>
      <c r="L35" s="14">
        <f>InputData[[#This Row],[BUYING PRIZE]]*InputData[[#This Row],[QUANTITY]]</f>
        <v>268</v>
      </c>
      <c r="M35" s="14">
        <f>InputData[[#This Row],[SELLING PRICE]]*InputData[[#This Row],[QUANTITY]]*(1-InputData[[#This Row],[DISCOUNT %]])</f>
        <v>268</v>
      </c>
      <c r="N35" s="12">
        <f>DAY(InputData[[#This Row],[DATE]])</f>
        <v>4</v>
      </c>
      <c r="O35" s="12" t="str">
        <f>TEXT(InputData[[#This Row],[DATE]],"mmm")</f>
        <v>Feb</v>
      </c>
      <c r="P35" s="12">
        <f>YEAR(InputData[[#This Row],[DATE]])</f>
        <v>2021</v>
      </c>
      <c r="Q35" s="12"/>
    </row>
    <row r="36" spans="1:17" x14ac:dyDescent="0.3">
      <c r="A36" s="10">
        <v>44232</v>
      </c>
      <c r="B36" s="11" t="s">
        <v>96</v>
      </c>
      <c r="C36" s="12">
        <v>7</v>
      </c>
      <c r="D36" s="12" t="s">
        <v>106</v>
      </c>
      <c r="E36" s="12" t="s">
        <v>107</v>
      </c>
      <c r="F36" s="13">
        <v>0</v>
      </c>
      <c r="G36" s="12" t="str">
        <f>VLOOKUP(InputData[[#This Row],[PRODUCT ID]],MasterData[],2,0)</f>
        <v>Product43</v>
      </c>
      <c r="H36" s="12" t="str">
        <f>VLOOKUP(InputData[[#This Row],[PRODUCT ID]],MasterData[],3,0)</f>
        <v>Category05</v>
      </c>
      <c r="I36" s="12" t="str">
        <f>VLOOKUP(InputData[[#This Row],[PRODUCT ID]],MasterData[],4,0)</f>
        <v>Kg</v>
      </c>
      <c r="J36" s="14">
        <f>VLOOKUP(InputData[[#This Row],[PRODUCT ID]],MasterData[],5,0)</f>
        <v>67</v>
      </c>
      <c r="K36" s="14">
        <f>VLOOKUP(InputData[[#This Row],[PRODUCT ID]],MasterData[],5,0)</f>
        <v>67</v>
      </c>
      <c r="L36" s="14">
        <f>InputData[[#This Row],[BUYING PRIZE]]*InputData[[#This Row],[QUANTITY]]</f>
        <v>469</v>
      </c>
      <c r="M36" s="14">
        <f>InputData[[#This Row],[SELLING PRICE]]*InputData[[#This Row],[QUANTITY]]*(1-InputData[[#This Row],[DISCOUNT %]])</f>
        <v>469</v>
      </c>
      <c r="N36" s="12">
        <f>DAY(InputData[[#This Row],[DATE]])</f>
        <v>5</v>
      </c>
      <c r="O36" s="12" t="str">
        <f>TEXT(InputData[[#This Row],[DATE]],"mmm")</f>
        <v>Feb</v>
      </c>
      <c r="P36" s="12">
        <f>YEAR(InputData[[#This Row],[DATE]])</f>
        <v>2021</v>
      </c>
      <c r="Q36" s="12"/>
    </row>
    <row r="37" spans="1:17" x14ac:dyDescent="0.3">
      <c r="A37" s="10">
        <v>44232</v>
      </c>
      <c r="B37" s="11" t="s">
        <v>16</v>
      </c>
      <c r="C37" s="12">
        <v>1</v>
      </c>
      <c r="D37" s="12" t="s">
        <v>108</v>
      </c>
      <c r="E37" s="12" t="s">
        <v>107</v>
      </c>
      <c r="F37" s="13">
        <v>0</v>
      </c>
      <c r="G37" s="12" t="str">
        <f>VLOOKUP(InputData[[#This Row],[PRODUCT ID]],MasterData[],2,0)</f>
        <v>Product05</v>
      </c>
      <c r="H37" s="12" t="str">
        <f>VLOOKUP(InputData[[#This Row],[PRODUCT ID]],MasterData[],3,0)</f>
        <v>Category01</v>
      </c>
      <c r="I37" s="12" t="str">
        <f>VLOOKUP(InputData[[#This Row],[PRODUCT ID]],MasterData[],4,0)</f>
        <v>Ft</v>
      </c>
      <c r="J37" s="14">
        <f>VLOOKUP(InputData[[#This Row],[PRODUCT ID]],MasterData[],5,0)</f>
        <v>133</v>
      </c>
      <c r="K37" s="14">
        <f>VLOOKUP(InputData[[#This Row],[PRODUCT ID]],MasterData[],5,0)</f>
        <v>133</v>
      </c>
      <c r="L37" s="14">
        <f>InputData[[#This Row],[BUYING PRIZE]]*InputData[[#This Row],[QUANTITY]]</f>
        <v>133</v>
      </c>
      <c r="M37" s="14">
        <f>InputData[[#This Row],[SELLING PRICE]]*InputData[[#This Row],[QUANTITY]]*(1-InputData[[#This Row],[DISCOUNT %]])</f>
        <v>133</v>
      </c>
      <c r="N37" s="12">
        <f>DAY(InputData[[#This Row],[DATE]])</f>
        <v>5</v>
      </c>
      <c r="O37" s="12" t="str">
        <f>TEXT(InputData[[#This Row],[DATE]],"mmm")</f>
        <v>Feb</v>
      </c>
      <c r="P37" s="12">
        <f>YEAR(InputData[[#This Row],[DATE]])</f>
        <v>2021</v>
      </c>
      <c r="Q37" s="12"/>
    </row>
    <row r="38" spans="1:17" x14ac:dyDescent="0.3">
      <c r="A38" s="10">
        <v>44232</v>
      </c>
      <c r="B38" s="11" t="s">
        <v>96</v>
      </c>
      <c r="C38" s="12">
        <v>9</v>
      </c>
      <c r="D38" s="12" t="s">
        <v>108</v>
      </c>
      <c r="E38" s="12" t="s">
        <v>107</v>
      </c>
      <c r="F38" s="13">
        <v>0</v>
      </c>
      <c r="G38" s="12" t="str">
        <f>VLOOKUP(InputData[[#This Row],[PRODUCT ID]],MasterData[],2,0)</f>
        <v>Product43</v>
      </c>
      <c r="H38" s="12" t="str">
        <f>VLOOKUP(InputData[[#This Row],[PRODUCT ID]],MasterData[],3,0)</f>
        <v>Category05</v>
      </c>
      <c r="I38" s="12" t="str">
        <f>VLOOKUP(InputData[[#This Row],[PRODUCT ID]],MasterData[],4,0)</f>
        <v>Kg</v>
      </c>
      <c r="J38" s="14">
        <f>VLOOKUP(InputData[[#This Row],[PRODUCT ID]],MasterData[],5,0)</f>
        <v>67</v>
      </c>
      <c r="K38" s="14">
        <f>VLOOKUP(InputData[[#This Row],[PRODUCT ID]],MasterData[],5,0)</f>
        <v>67</v>
      </c>
      <c r="L38" s="14">
        <f>InputData[[#This Row],[BUYING PRIZE]]*InputData[[#This Row],[QUANTITY]]</f>
        <v>603</v>
      </c>
      <c r="M38" s="14">
        <f>InputData[[#This Row],[SELLING PRICE]]*InputData[[#This Row],[QUANTITY]]*(1-InputData[[#This Row],[DISCOUNT %]])</f>
        <v>603</v>
      </c>
      <c r="N38" s="12">
        <f>DAY(InputData[[#This Row],[DATE]])</f>
        <v>5</v>
      </c>
      <c r="O38" s="12" t="str">
        <f>TEXT(InputData[[#This Row],[DATE]],"mmm")</f>
        <v>Feb</v>
      </c>
      <c r="P38" s="12">
        <f>YEAR(InputData[[#This Row],[DATE]])</f>
        <v>2021</v>
      </c>
      <c r="Q38" s="12"/>
    </row>
    <row r="39" spans="1:17" x14ac:dyDescent="0.3">
      <c r="A39" s="10">
        <v>44233</v>
      </c>
      <c r="B39" s="11" t="s">
        <v>79</v>
      </c>
      <c r="C39" s="12">
        <v>1</v>
      </c>
      <c r="D39" s="12" t="s">
        <v>108</v>
      </c>
      <c r="E39" s="12" t="s">
        <v>107</v>
      </c>
      <c r="F39" s="13">
        <v>0</v>
      </c>
      <c r="G39" s="12" t="str">
        <f>VLOOKUP(InputData[[#This Row],[PRODUCT ID]],MasterData[],2,0)</f>
        <v>Product35</v>
      </c>
      <c r="H39" s="12" t="str">
        <f>VLOOKUP(InputData[[#This Row],[PRODUCT ID]],MasterData[],3,0)</f>
        <v>Category04</v>
      </c>
      <c r="I39" s="12" t="str">
        <f>VLOOKUP(InputData[[#This Row],[PRODUCT ID]],MasterData[],4,0)</f>
        <v>No.</v>
      </c>
      <c r="J39" s="14">
        <f>VLOOKUP(InputData[[#This Row],[PRODUCT ID]],MasterData[],5,0)</f>
        <v>5</v>
      </c>
      <c r="K39" s="14">
        <f>VLOOKUP(InputData[[#This Row],[PRODUCT ID]],MasterData[],5,0)</f>
        <v>5</v>
      </c>
      <c r="L39" s="14">
        <f>InputData[[#This Row],[BUYING PRIZE]]*InputData[[#This Row],[QUANTITY]]</f>
        <v>5</v>
      </c>
      <c r="M39" s="14">
        <f>InputData[[#This Row],[SELLING PRICE]]*InputData[[#This Row],[QUANTITY]]*(1-InputData[[#This Row],[DISCOUNT %]])</f>
        <v>5</v>
      </c>
      <c r="N39" s="12">
        <f>DAY(InputData[[#This Row],[DATE]])</f>
        <v>6</v>
      </c>
      <c r="O39" s="12" t="str">
        <f>TEXT(InputData[[#This Row],[DATE]],"mmm")</f>
        <v>Feb</v>
      </c>
      <c r="P39" s="12">
        <f>YEAR(InputData[[#This Row],[DATE]])</f>
        <v>2021</v>
      </c>
      <c r="Q39" s="12"/>
    </row>
    <row r="40" spans="1:17" x14ac:dyDescent="0.3">
      <c r="A40" s="10">
        <v>44236</v>
      </c>
      <c r="B40" s="11" t="s">
        <v>77</v>
      </c>
      <c r="C40" s="12">
        <v>14</v>
      </c>
      <c r="D40" s="12" t="s">
        <v>108</v>
      </c>
      <c r="E40" s="12" t="s">
        <v>106</v>
      </c>
      <c r="F40" s="13">
        <v>0</v>
      </c>
      <c r="G40" s="12" t="str">
        <f>VLOOKUP(InputData[[#This Row],[PRODUCT ID]],MasterData[],2,0)</f>
        <v>Product34</v>
      </c>
      <c r="H40" s="12" t="str">
        <f>VLOOKUP(InputData[[#This Row],[PRODUCT ID]],MasterData[],3,0)</f>
        <v>Category04</v>
      </c>
      <c r="I40" s="12" t="str">
        <f>VLOOKUP(InputData[[#This Row],[PRODUCT ID]],MasterData[],4,0)</f>
        <v>Lt</v>
      </c>
      <c r="J40" s="14">
        <f>VLOOKUP(InputData[[#This Row],[PRODUCT ID]],MasterData[],5,0)</f>
        <v>55</v>
      </c>
      <c r="K40" s="14">
        <f>VLOOKUP(InputData[[#This Row],[PRODUCT ID]],MasterData[],5,0)</f>
        <v>55</v>
      </c>
      <c r="L40" s="14">
        <f>InputData[[#This Row],[BUYING PRIZE]]*InputData[[#This Row],[QUANTITY]]</f>
        <v>770</v>
      </c>
      <c r="M40" s="14">
        <f>InputData[[#This Row],[SELLING PRICE]]*InputData[[#This Row],[QUANTITY]]*(1-InputData[[#This Row],[DISCOUNT %]])</f>
        <v>770</v>
      </c>
      <c r="N40" s="12">
        <f>DAY(InputData[[#This Row],[DATE]])</f>
        <v>9</v>
      </c>
      <c r="O40" s="12" t="str">
        <f>TEXT(InputData[[#This Row],[DATE]],"mmm")</f>
        <v>Feb</v>
      </c>
      <c r="P40" s="12">
        <f>YEAR(InputData[[#This Row],[DATE]])</f>
        <v>2021</v>
      </c>
      <c r="Q40" s="12"/>
    </row>
    <row r="41" spans="1:17" x14ac:dyDescent="0.3">
      <c r="A41" s="10">
        <v>44239</v>
      </c>
      <c r="B41" s="11" t="s">
        <v>22</v>
      </c>
      <c r="C41" s="12">
        <v>7</v>
      </c>
      <c r="D41" s="12" t="s">
        <v>108</v>
      </c>
      <c r="E41" s="12" t="s">
        <v>107</v>
      </c>
      <c r="F41" s="13">
        <v>0</v>
      </c>
      <c r="G41" s="12" t="str">
        <f>VLOOKUP(InputData[[#This Row],[PRODUCT ID]],MasterData[],2,0)</f>
        <v>Product08</v>
      </c>
      <c r="H41" s="12" t="str">
        <f>VLOOKUP(InputData[[#This Row],[PRODUCT ID]],MasterData[],3,0)</f>
        <v>Category01</v>
      </c>
      <c r="I41" s="12" t="str">
        <f>VLOOKUP(InputData[[#This Row],[PRODUCT ID]],MasterData[],4,0)</f>
        <v>Kg</v>
      </c>
      <c r="J41" s="14">
        <f>VLOOKUP(InputData[[#This Row],[PRODUCT ID]],MasterData[],5,0)</f>
        <v>83</v>
      </c>
      <c r="K41" s="14">
        <f>VLOOKUP(InputData[[#This Row],[PRODUCT ID]],MasterData[],5,0)</f>
        <v>83</v>
      </c>
      <c r="L41" s="14">
        <f>InputData[[#This Row],[BUYING PRIZE]]*InputData[[#This Row],[QUANTITY]]</f>
        <v>581</v>
      </c>
      <c r="M41" s="14">
        <f>InputData[[#This Row],[SELLING PRICE]]*InputData[[#This Row],[QUANTITY]]*(1-InputData[[#This Row],[DISCOUNT %]])</f>
        <v>581</v>
      </c>
      <c r="N41" s="12">
        <f>DAY(InputData[[#This Row],[DATE]])</f>
        <v>12</v>
      </c>
      <c r="O41" s="12" t="str">
        <f>TEXT(InputData[[#This Row],[DATE]],"mmm")</f>
        <v>Feb</v>
      </c>
      <c r="P41" s="12">
        <f>YEAR(InputData[[#This Row],[DATE]])</f>
        <v>2021</v>
      </c>
      <c r="Q41" s="12"/>
    </row>
    <row r="42" spans="1:17" x14ac:dyDescent="0.3">
      <c r="A42" s="10">
        <v>44239</v>
      </c>
      <c r="B42" s="11" t="s">
        <v>54</v>
      </c>
      <c r="C42" s="12">
        <v>9</v>
      </c>
      <c r="D42" s="12" t="s">
        <v>106</v>
      </c>
      <c r="E42" s="12" t="s">
        <v>107</v>
      </c>
      <c r="F42" s="13">
        <v>0</v>
      </c>
      <c r="G42" s="12" t="str">
        <f>VLOOKUP(InputData[[#This Row],[PRODUCT ID]],MasterData[],2,0)</f>
        <v>Product23</v>
      </c>
      <c r="H42" s="12" t="str">
        <f>VLOOKUP(InputData[[#This Row],[PRODUCT ID]],MasterData[],3,0)</f>
        <v>Category03</v>
      </c>
      <c r="I42" s="12" t="str">
        <f>VLOOKUP(InputData[[#This Row],[PRODUCT ID]],MasterData[],4,0)</f>
        <v>Ft</v>
      </c>
      <c r="J42" s="14">
        <f>VLOOKUP(InputData[[#This Row],[PRODUCT ID]],MasterData[],5,0)</f>
        <v>141</v>
      </c>
      <c r="K42" s="14">
        <f>VLOOKUP(InputData[[#This Row],[PRODUCT ID]],MasterData[],5,0)</f>
        <v>141</v>
      </c>
      <c r="L42" s="14">
        <f>InputData[[#This Row],[BUYING PRIZE]]*InputData[[#This Row],[QUANTITY]]</f>
        <v>1269</v>
      </c>
      <c r="M42" s="14">
        <f>InputData[[#This Row],[SELLING PRICE]]*InputData[[#This Row],[QUANTITY]]*(1-InputData[[#This Row],[DISCOUNT %]])</f>
        <v>1269</v>
      </c>
      <c r="N42" s="12">
        <f>DAY(InputData[[#This Row],[DATE]])</f>
        <v>12</v>
      </c>
      <c r="O42" s="12" t="str">
        <f>TEXT(InputData[[#This Row],[DATE]],"mmm")</f>
        <v>Feb</v>
      </c>
      <c r="P42" s="12">
        <f>YEAR(InputData[[#This Row],[DATE]])</f>
        <v>2021</v>
      </c>
      <c r="Q42" s="12"/>
    </row>
    <row r="43" spans="1:17" x14ac:dyDescent="0.3">
      <c r="A43" s="10">
        <v>44242</v>
      </c>
      <c r="B43" s="11" t="s">
        <v>63</v>
      </c>
      <c r="C43" s="12">
        <v>4</v>
      </c>
      <c r="D43" s="12" t="s">
        <v>108</v>
      </c>
      <c r="E43" s="12" t="s">
        <v>106</v>
      </c>
      <c r="F43" s="13">
        <v>0</v>
      </c>
      <c r="G43" s="12" t="str">
        <f>VLOOKUP(InputData[[#This Row],[PRODUCT ID]],MasterData[],2,0)</f>
        <v>Product27</v>
      </c>
      <c r="H43" s="12" t="str">
        <f>VLOOKUP(InputData[[#This Row],[PRODUCT ID]],MasterData[],3,0)</f>
        <v>Category04</v>
      </c>
      <c r="I43" s="12" t="str">
        <f>VLOOKUP(InputData[[#This Row],[PRODUCT ID]],MasterData[],4,0)</f>
        <v>Lt</v>
      </c>
      <c r="J43" s="14">
        <f>VLOOKUP(InputData[[#This Row],[PRODUCT ID]],MasterData[],5,0)</f>
        <v>48</v>
      </c>
      <c r="K43" s="14">
        <f>VLOOKUP(InputData[[#This Row],[PRODUCT ID]],MasterData[],5,0)</f>
        <v>48</v>
      </c>
      <c r="L43" s="14">
        <f>InputData[[#This Row],[BUYING PRIZE]]*InputData[[#This Row],[QUANTITY]]</f>
        <v>192</v>
      </c>
      <c r="M43" s="14">
        <f>InputData[[#This Row],[SELLING PRICE]]*InputData[[#This Row],[QUANTITY]]*(1-InputData[[#This Row],[DISCOUNT %]])</f>
        <v>192</v>
      </c>
      <c r="N43" s="12">
        <f>DAY(InputData[[#This Row],[DATE]])</f>
        <v>15</v>
      </c>
      <c r="O43" s="12" t="str">
        <f>TEXT(InputData[[#This Row],[DATE]],"mmm")</f>
        <v>Feb</v>
      </c>
      <c r="P43" s="12">
        <f>YEAR(InputData[[#This Row],[DATE]])</f>
        <v>2021</v>
      </c>
      <c r="Q43" s="12"/>
    </row>
    <row r="44" spans="1:17" x14ac:dyDescent="0.3">
      <c r="A44" s="10">
        <v>44245</v>
      </c>
      <c r="B44" s="11" t="s">
        <v>37</v>
      </c>
      <c r="C44" s="12">
        <v>6</v>
      </c>
      <c r="D44" s="12" t="s">
        <v>106</v>
      </c>
      <c r="E44" s="12" t="s">
        <v>107</v>
      </c>
      <c r="F44" s="13">
        <v>0</v>
      </c>
      <c r="G44" s="12" t="str">
        <f>VLOOKUP(InputData[[#This Row],[PRODUCT ID]],MasterData[],2,0)</f>
        <v>Product15</v>
      </c>
      <c r="H44" s="12" t="str">
        <f>VLOOKUP(InputData[[#This Row],[PRODUCT ID]],MasterData[],3,0)</f>
        <v>Category02</v>
      </c>
      <c r="I44" s="12" t="str">
        <f>VLOOKUP(InputData[[#This Row],[PRODUCT ID]],MasterData[],4,0)</f>
        <v>No.</v>
      </c>
      <c r="J44" s="14">
        <f>VLOOKUP(InputData[[#This Row],[PRODUCT ID]],MasterData[],5,0)</f>
        <v>12</v>
      </c>
      <c r="K44" s="14">
        <f>VLOOKUP(InputData[[#This Row],[PRODUCT ID]],MasterData[],5,0)</f>
        <v>12</v>
      </c>
      <c r="L44" s="14">
        <f>InputData[[#This Row],[BUYING PRIZE]]*InputData[[#This Row],[QUANTITY]]</f>
        <v>72</v>
      </c>
      <c r="M44" s="14">
        <f>InputData[[#This Row],[SELLING PRICE]]*InputData[[#This Row],[QUANTITY]]*(1-InputData[[#This Row],[DISCOUNT %]])</f>
        <v>72</v>
      </c>
      <c r="N44" s="12">
        <f>DAY(InputData[[#This Row],[DATE]])</f>
        <v>18</v>
      </c>
      <c r="O44" s="12" t="str">
        <f>TEXT(InputData[[#This Row],[DATE]],"mmm")</f>
        <v>Feb</v>
      </c>
      <c r="P44" s="12">
        <f>YEAR(InputData[[#This Row],[DATE]])</f>
        <v>2021</v>
      </c>
      <c r="Q44" s="12"/>
    </row>
    <row r="45" spans="1:17" x14ac:dyDescent="0.3">
      <c r="A45" s="10">
        <v>44247</v>
      </c>
      <c r="B45" s="11" t="s">
        <v>69</v>
      </c>
      <c r="C45" s="12">
        <v>11</v>
      </c>
      <c r="D45" s="12" t="s">
        <v>106</v>
      </c>
      <c r="E45" s="12" t="s">
        <v>107</v>
      </c>
      <c r="F45" s="13">
        <v>0</v>
      </c>
      <c r="G45" s="12" t="str">
        <f>VLOOKUP(InputData[[#This Row],[PRODUCT ID]],MasterData[],2,0)</f>
        <v>Product30</v>
      </c>
      <c r="H45" s="12" t="str">
        <f>VLOOKUP(InputData[[#This Row],[PRODUCT ID]],MasterData[],3,0)</f>
        <v>Category04</v>
      </c>
      <c r="I45" s="12" t="str">
        <f>VLOOKUP(InputData[[#This Row],[PRODUCT ID]],MasterData[],4,0)</f>
        <v>Ft</v>
      </c>
      <c r="J45" s="14">
        <f>VLOOKUP(InputData[[#This Row],[PRODUCT ID]],MasterData[],5,0)</f>
        <v>148</v>
      </c>
      <c r="K45" s="14">
        <f>VLOOKUP(InputData[[#This Row],[PRODUCT ID]],MasterData[],5,0)</f>
        <v>148</v>
      </c>
      <c r="L45" s="14">
        <f>InputData[[#This Row],[BUYING PRIZE]]*InputData[[#This Row],[QUANTITY]]</f>
        <v>1628</v>
      </c>
      <c r="M45" s="14">
        <f>InputData[[#This Row],[SELLING PRICE]]*InputData[[#This Row],[QUANTITY]]*(1-InputData[[#This Row],[DISCOUNT %]])</f>
        <v>1628</v>
      </c>
      <c r="N45" s="12">
        <f>DAY(InputData[[#This Row],[DATE]])</f>
        <v>20</v>
      </c>
      <c r="O45" s="12" t="str">
        <f>TEXT(InputData[[#This Row],[DATE]],"mmm")</f>
        <v>Feb</v>
      </c>
      <c r="P45" s="12">
        <f>YEAR(InputData[[#This Row],[DATE]])</f>
        <v>2021</v>
      </c>
      <c r="Q45" s="12"/>
    </row>
    <row r="46" spans="1:17" x14ac:dyDescent="0.3">
      <c r="A46" s="10">
        <v>44249</v>
      </c>
      <c r="B46" s="11" t="s">
        <v>33</v>
      </c>
      <c r="C46" s="12">
        <v>5</v>
      </c>
      <c r="D46" s="12" t="s">
        <v>106</v>
      </c>
      <c r="E46" s="12" t="s">
        <v>107</v>
      </c>
      <c r="F46" s="13">
        <v>0</v>
      </c>
      <c r="G46" s="12" t="str">
        <f>VLOOKUP(InputData[[#This Row],[PRODUCT ID]],MasterData[],2,0)</f>
        <v>Product13</v>
      </c>
      <c r="H46" s="12" t="str">
        <f>VLOOKUP(InputData[[#This Row],[PRODUCT ID]],MasterData[],3,0)</f>
        <v>Category02</v>
      </c>
      <c r="I46" s="12" t="str">
        <f>VLOOKUP(InputData[[#This Row],[PRODUCT ID]],MasterData[],4,0)</f>
        <v>Kg</v>
      </c>
      <c r="J46" s="14">
        <f>VLOOKUP(InputData[[#This Row],[PRODUCT ID]],MasterData[],5,0)</f>
        <v>112</v>
      </c>
      <c r="K46" s="14">
        <f>VLOOKUP(InputData[[#This Row],[PRODUCT ID]],MasterData[],5,0)</f>
        <v>112</v>
      </c>
      <c r="L46" s="14">
        <f>InputData[[#This Row],[BUYING PRIZE]]*InputData[[#This Row],[QUANTITY]]</f>
        <v>560</v>
      </c>
      <c r="M46" s="14">
        <f>InputData[[#This Row],[SELLING PRICE]]*InputData[[#This Row],[QUANTITY]]*(1-InputData[[#This Row],[DISCOUNT %]])</f>
        <v>560</v>
      </c>
      <c r="N46" s="12">
        <f>DAY(InputData[[#This Row],[DATE]])</f>
        <v>22</v>
      </c>
      <c r="O46" s="12" t="str">
        <f>TEXT(InputData[[#This Row],[DATE]],"mmm")</f>
        <v>Feb</v>
      </c>
      <c r="P46" s="12">
        <f>YEAR(InputData[[#This Row],[DATE]])</f>
        <v>2021</v>
      </c>
      <c r="Q46" s="12"/>
    </row>
    <row r="47" spans="1:17" x14ac:dyDescent="0.3">
      <c r="A47" s="10">
        <v>44250</v>
      </c>
      <c r="B47" s="11" t="s">
        <v>58</v>
      </c>
      <c r="C47" s="12">
        <v>3</v>
      </c>
      <c r="D47" s="12" t="s">
        <v>108</v>
      </c>
      <c r="E47" s="12" t="s">
        <v>107</v>
      </c>
      <c r="F47" s="13">
        <v>0</v>
      </c>
      <c r="G47" s="12" t="str">
        <f>VLOOKUP(InputData[[#This Row],[PRODUCT ID]],MasterData[],2,0)</f>
        <v>Product25</v>
      </c>
      <c r="H47" s="12" t="str">
        <f>VLOOKUP(InputData[[#This Row],[PRODUCT ID]],MasterData[],3,0)</f>
        <v>Category03</v>
      </c>
      <c r="I47" s="12" t="str">
        <f>VLOOKUP(InputData[[#This Row],[PRODUCT ID]],MasterData[],4,0)</f>
        <v>No.</v>
      </c>
      <c r="J47" s="14">
        <f>VLOOKUP(InputData[[#This Row],[PRODUCT ID]],MasterData[],5,0)</f>
        <v>7</v>
      </c>
      <c r="K47" s="14">
        <f>VLOOKUP(InputData[[#This Row],[PRODUCT ID]],MasterData[],5,0)</f>
        <v>7</v>
      </c>
      <c r="L47" s="14">
        <f>InputData[[#This Row],[BUYING PRIZE]]*InputData[[#This Row],[QUANTITY]]</f>
        <v>21</v>
      </c>
      <c r="M47" s="14">
        <f>InputData[[#This Row],[SELLING PRICE]]*InputData[[#This Row],[QUANTITY]]*(1-InputData[[#This Row],[DISCOUNT %]])</f>
        <v>21</v>
      </c>
      <c r="N47" s="12">
        <f>DAY(InputData[[#This Row],[DATE]])</f>
        <v>23</v>
      </c>
      <c r="O47" s="12" t="str">
        <f>TEXT(InputData[[#This Row],[DATE]],"mmm")</f>
        <v>Feb</v>
      </c>
      <c r="P47" s="12">
        <f>YEAR(InputData[[#This Row],[DATE]])</f>
        <v>2021</v>
      </c>
      <c r="Q47" s="12"/>
    </row>
    <row r="48" spans="1:17" x14ac:dyDescent="0.3">
      <c r="A48" s="10">
        <v>44250</v>
      </c>
      <c r="B48" s="11" t="s">
        <v>16</v>
      </c>
      <c r="C48" s="12">
        <v>2</v>
      </c>
      <c r="D48" s="12" t="s">
        <v>108</v>
      </c>
      <c r="E48" s="12" t="s">
        <v>106</v>
      </c>
      <c r="F48" s="13">
        <v>0</v>
      </c>
      <c r="G48" s="12" t="str">
        <f>VLOOKUP(InputData[[#This Row],[PRODUCT ID]],MasterData[],2,0)</f>
        <v>Product05</v>
      </c>
      <c r="H48" s="12" t="str">
        <f>VLOOKUP(InputData[[#This Row],[PRODUCT ID]],MasterData[],3,0)</f>
        <v>Category01</v>
      </c>
      <c r="I48" s="12" t="str">
        <f>VLOOKUP(InputData[[#This Row],[PRODUCT ID]],MasterData[],4,0)</f>
        <v>Ft</v>
      </c>
      <c r="J48" s="14">
        <f>VLOOKUP(InputData[[#This Row],[PRODUCT ID]],MasterData[],5,0)</f>
        <v>133</v>
      </c>
      <c r="K48" s="14">
        <f>VLOOKUP(InputData[[#This Row],[PRODUCT ID]],MasterData[],5,0)</f>
        <v>133</v>
      </c>
      <c r="L48" s="14">
        <f>InputData[[#This Row],[BUYING PRIZE]]*InputData[[#This Row],[QUANTITY]]</f>
        <v>266</v>
      </c>
      <c r="M48" s="14">
        <f>InputData[[#This Row],[SELLING PRICE]]*InputData[[#This Row],[QUANTITY]]*(1-InputData[[#This Row],[DISCOUNT %]])</f>
        <v>266</v>
      </c>
      <c r="N48" s="12">
        <f>DAY(InputData[[#This Row],[DATE]])</f>
        <v>23</v>
      </c>
      <c r="O48" s="12" t="str">
        <f>TEXT(InputData[[#This Row],[DATE]],"mmm")</f>
        <v>Feb</v>
      </c>
      <c r="P48" s="12">
        <f>YEAR(InputData[[#This Row],[DATE]])</f>
        <v>2021</v>
      </c>
      <c r="Q48" s="12"/>
    </row>
    <row r="49" spans="1:17" x14ac:dyDescent="0.3">
      <c r="A49" s="10">
        <v>44252</v>
      </c>
      <c r="B49" s="11" t="s">
        <v>10</v>
      </c>
      <c r="C49" s="12">
        <v>4</v>
      </c>
      <c r="D49" s="12" t="s">
        <v>105</v>
      </c>
      <c r="E49" s="12" t="s">
        <v>106</v>
      </c>
      <c r="F49" s="13">
        <v>0</v>
      </c>
      <c r="G49" s="12" t="str">
        <f>VLOOKUP(InputData[[#This Row],[PRODUCT ID]],MasterData[],2,0)</f>
        <v>Product02</v>
      </c>
      <c r="H49" s="12" t="str">
        <f>VLOOKUP(InputData[[#This Row],[PRODUCT ID]],MasterData[],3,0)</f>
        <v>Category01</v>
      </c>
      <c r="I49" s="12" t="str">
        <f>VLOOKUP(InputData[[#This Row],[PRODUCT ID]],MasterData[],4,0)</f>
        <v>Kg</v>
      </c>
      <c r="J49" s="14">
        <f>VLOOKUP(InputData[[#This Row],[PRODUCT ID]],MasterData[],5,0)</f>
        <v>105</v>
      </c>
      <c r="K49" s="14">
        <f>VLOOKUP(InputData[[#This Row],[PRODUCT ID]],MasterData[],5,0)</f>
        <v>105</v>
      </c>
      <c r="L49" s="14">
        <f>InputData[[#This Row],[BUYING PRIZE]]*InputData[[#This Row],[QUANTITY]]</f>
        <v>420</v>
      </c>
      <c r="M49" s="14">
        <f>InputData[[#This Row],[SELLING PRICE]]*InputData[[#This Row],[QUANTITY]]*(1-InputData[[#This Row],[DISCOUNT %]])</f>
        <v>420</v>
      </c>
      <c r="N49" s="12">
        <f>DAY(InputData[[#This Row],[DATE]])</f>
        <v>25</v>
      </c>
      <c r="O49" s="12" t="str">
        <f>TEXT(InputData[[#This Row],[DATE]],"mmm")</f>
        <v>Feb</v>
      </c>
      <c r="P49" s="12">
        <f>YEAR(InputData[[#This Row],[DATE]])</f>
        <v>2021</v>
      </c>
      <c r="Q49" s="12"/>
    </row>
    <row r="50" spans="1:17" x14ac:dyDescent="0.3">
      <c r="A50" s="10">
        <v>44252</v>
      </c>
      <c r="B50" s="11" t="s">
        <v>73</v>
      </c>
      <c r="C50" s="12">
        <v>11</v>
      </c>
      <c r="D50" s="12" t="s">
        <v>106</v>
      </c>
      <c r="E50" s="12" t="s">
        <v>107</v>
      </c>
      <c r="F50" s="13">
        <v>0</v>
      </c>
      <c r="G50" s="12" t="str">
        <f>VLOOKUP(InputData[[#This Row],[PRODUCT ID]],MasterData[],2,0)</f>
        <v>Product32</v>
      </c>
      <c r="H50" s="12" t="str">
        <f>VLOOKUP(InputData[[#This Row],[PRODUCT ID]],MasterData[],3,0)</f>
        <v>Category04</v>
      </c>
      <c r="I50" s="12" t="str">
        <f>VLOOKUP(InputData[[#This Row],[PRODUCT ID]],MasterData[],4,0)</f>
        <v>Kg</v>
      </c>
      <c r="J50" s="14">
        <f>VLOOKUP(InputData[[#This Row],[PRODUCT ID]],MasterData[],5,0)</f>
        <v>89</v>
      </c>
      <c r="K50" s="14">
        <f>VLOOKUP(InputData[[#This Row],[PRODUCT ID]],MasterData[],5,0)</f>
        <v>89</v>
      </c>
      <c r="L50" s="14">
        <f>InputData[[#This Row],[BUYING PRIZE]]*InputData[[#This Row],[QUANTITY]]</f>
        <v>979</v>
      </c>
      <c r="M50" s="14">
        <f>InputData[[#This Row],[SELLING PRICE]]*InputData[[#This Row],[QUANTITY]]*(1-InputData[[#This Row],[DISCOUNT %]])</f>
        <v>979</v>
      </c>
      <c r="N50" s="12">
        <f>DAY(InputData[[#This Row],[DATE]])</f>
        <v>25</v>
      </c>
      <c r="O50" s="12" t="str">
        <f>TEXT(InputData[[#This Row],[DATE]],"mmm")</f>
        <v>Feb</v>
      </c>
      <c r="P50" s="12">
        <f>YEAR(InputData[[#This Row],[DATE]])</f>
        <v>2021</v>
      </c>
      <c r="Q50" s="12"/>
    </row>
    <row r="51" spans="1:17" x14ac:dyDescent="0.3">
      <c r="A51" s="10">
        <v>44252</v>
      </c>
      <c r="B51" s="11" t="s">
        <v>69</v>
      </c>
      <c r="C51" s="12">
        <v>2</v>
      </c>
      <c r="D51" s="12" t="s">
        <v>108</v>
      </c>
      <c r="E51" s="12" t="s">
        <v>106</v>
      </c>
      <c r="F51" s="13">
        <v>0</v>
      </c>
      <c r="G51" s="12" t="str">
        <f>VLOOKUP(InputData[[#This Row],[PRODUCT ID]],MasterData[],2,0)</f>
        <v>Product30</v>
      </c>
      <c r="H51" s="12" t="str">
        <f>VLOOKUP(InputData[[#This Row],[PRODUCT ID]],MasterData[],3,0)</f>
        <v>Category04</v>
      </c>
      <c r="I51" s="12" t="str">
        <f>VLOOKUP(InputData[[#This Row],[PRODUCT ID]],MasterData[],4,0)</f>
        <v>Ft</v>
      </c>
      <c r="J51" s="14">
        <f>VLOOKUP(InputData[[#This Row],[PRODUCT ID]],MasterData[],5,0)</f>
        <v>148</v>
      </c>
      <c r="K51" s="14">
        <f>VLOOKUP(InputData[[#This Row],[PRODUCT ID]],MasterData[],5,0)</f>
        <v>148</v>
      </c>
      <c r="L51" s="14">
        <f>InputData[[#This Row],[BUYING PRIZE]]*InputData[[#This Row],[QUANTITY]]</f>
        <v>296</v>
      </c>
      <c r="M51" s="14">
        <f>InputData[[#This Row],[SELLING PRICE]]*InputData[[#This Row],[QUANTITY]]*(1-InputData[[#This Row],[DISCOUNT %]])</f>
        <v>296</v>
      </c>
      <c r="N51" s="12">
        <f>DAY(InputData[[#This Row],[DATE]])</f>
        <v>25</v>
      </c>
      <c r="O51" s="12" t="str">
        <f>TEXT(InputData[[#This Row],[DATE]],"mmm")</f>
        <v>Feb</v>
      </c>
      <c r="P51" s="12">
        <f>YEAR(InputData[[#This Row],[DATE]])</f>
        <v>2021</v>
      </c>
      <c r="Q51" s="12"/>
    </row>
    <row r="52" spans="1:17" x14ac:dyDescent="0.3">
      <c r="A52" s="10">
        <v>44254</v>
      </c>
      <c r="B52" s="11" t="s">
        <v>43</v>
      </c>
      <c r="C52" s="12">
        <v>11</v>
      </c>
      <c r="D52" s="12" t="s">
        <v>105</v>
      </c>
      <c r="E52" s="12" t="s">
        <v>106</v>
      </c>
      <c r="F52" s="13">
        <v>0</v>
      </c>
      <c r="G52" s="12" t="str">
        <f>VLOOKUP(InputData[[#This Row],[PRODUCT ID]],MasterData[],2,0)</f>
        <v>Product18</v>
      </c>
      <c r="H52" s="12" t="str">
        <f>VLOOKUP(InputData[[#This Row],[PRODUCT ID]],MasterData[],3,0)</f>
        <v>Category02</v>
      </c>
      <c r="I52" s="12" t="str">
        <f>VLOOKUP(InputData[[#This Row],[PRODUCT ID]],MasterData[],4,0)</f>
        <v>No.</v>
      </c>
      <c r="J52" s="14">
        <f>VLOOKUP(InputData[[#This Row],[PRODUCT ID]],MasterData[],5,0)</f>
        <v>37</v>
      </c>
      <c r="K52" s="14">
        <f>VLOOKUP(InputData[[#This Row],[PRODUCT ID]],MasterData[],5,0)</f>
        <v>37</v>
      </c>
      <c r="L52" s="14">
        <f>InputData[[#This Row],[BUYING PRIZE]]*InputData[[#This Row],[QUANTITY]]</f>
        <v>407</v>
      </c>
      <c r="M52" s="14">
        <f>InputData[[#This Row],[SELLING PRICE]]*InputData[[#This Row],[QUANTITY]]*(1-InputData[[#This Row],[DISCOUNT %]])</f>
        <v>407</v>
      </c>
      <c r="N52" s="12">
        <f>DAY(InputData[[#This Row],[DATE]])</f>
        <v>27</v>
      </c>
      <c r="O52" s="12" t="str">
        <f>TEXT(InputData[[#This Row],[DATE]],"mmm")</f>
        <v>Feb</v>
      </c>
      <c r="P52" s="12">
        <f>YEAR(InputData[[#This Row],[DATE]])</f>
        <v>2021</v>
      </c>
      <c r="Q52" s="12"/>
    </row>
    <row r="53" spans="1:17" x14ac:dyDescent="0.3">
      <c r="A53" s="10">
        <v>44258</v>
      </c>
      <c r="B53" s="11" t="s">
        <v>29</v>
      </c>
      <c r="C53" s="12">
        <v>1</v>
      </c>
      <c r="D53" s="12" t="s">
        <v>108</v>
      </c>
      <c r="E53" s="12" t="s">
        <v>106</v>
      </c>
      <c r="F53" s="13">
        <v>0</v>
      </c>
      <c r="G53" s="12" t="str">
        <f>VLOOKUP(InputData[[#This Row],[PRODUCT ID]],MasterData[],2,0)</f>
        <v>Product11</v>
      </c>
      <c r="H53" s="12" t="str">
        <f>VLOOKUP(InputData[[#This Row],[PRODUCT ID]],MasterData[],3,0)</f>
        <v>Category02</v>
      </c>
      <c r="I53" s="12" t="str">
        <f>VLOOKUP(InputData[[#This Row],[PRODUCT ID]],MasterData[],4,0)</f>
        <v>Lt</v>
      </c>
      <c r="J53" s="14">
        <f>VLOOKUP(InputData[[#This Row],[PRODUCT ID]],MasterData[],5,0)</f>
        <v>44</v>
      </c>
      <c r="K53" s="14">
        <f>VLOOKUP(InputData[[#This Row],[PRODUCT ID]],MasterData[],5,0)</f>
        <v>44</v>
      </c>
      <c r="L53" s="14">
        <f>InputData[[#This Row],[BUYING PRIZE]]*InputData[[#This Row],[QUANTITY]]</f>
        <v>44</v>
      </c>
      <c r="M53" s="14">
        <f>InputData[[#This Row],[SELLING PRICE]]*InputData[[#This Row],[QUANTITY]]*(1-InputData[[#This Row],[DISCOUNT %]])</f>
        <v>44</v>
      </c>
      <c r="N53" s="12">
        <f>DAY(InputData[[#This Row],[DATE]])</f>
        <v>3</v>
      </c>
      <c r="O53" s="12" t="str">
        <f>TEXT(InputData[[#This Row],[DATE]],"mmm")</f>
        <v>Mar</v>
      </c>
      <c r="P53" s="12">
        <f>YEAR(InputData[[#This Row],[DATE]])</f>
        <v>2021</v>
      </c>
      <c r="Q53" s="12"/>
    </row>
    <row r="54" spans="1:17" x14ac:dyDescent="0.3">
      <c r="A54" s="10">
        <v>44262</v>
      </c>
      <c r="B54" s="11" t="s">
        <v>50</v>
      </c>
      <c r="C54" s="12">
        <v>9</v>
      </c>
      <c r="D54" s="12" t="s">
        <v>108</v>
      </c>
      <c r="E54" s="12" t="s">
        <v>107</v>
      </c>
      <c r="F54" s="13">
        <v>0</v>
      </c>
      <c r="G54" s="12" t="str">
        <f>VLOOKUP(InputData[[#This Row],[PRODUCT ID]],MasterData[],2,0)</f>
        <v>Product21</v>
      </c>
      <c r="H54" s="12" t="str">
        <f>VLOOKUP(InputData[[#This Row],[PRODUCT ID]],MasterData[],3,0)</f>
        <v>Category03</v>
      </c>
      <c r="I54" s="12" t="str">
        <f>VLOOKUP(InputData[[#This Row],[PRODUCT ID]],MasterData[],4,0)</f>
        <v>Ft</v>
      </c>
      <c r="J54" s="14">
        <f>VLOOKUP(InputData[[#This Row],[PRODUCT ID]],MasterData[],5,0)</f>
        <v>126</v>
      </c>
      <c r="K54" s="14">
        <f>VLOOKUP(InputData[[#This Row],[PRODUCT ID]],MasterData[],5,0)</f>
        <v>126</v>
      </c>
      <c r="L54" s="14">
        <f>InputData[[#This Row],[BUYING PRIZE]]*InputData[[#This Row],[QUANTITY]]</f>
        <v>1134</v>
      </c>
      <c r="M54" s="14">
        <f>InputData[[#This Row],[SELLING PRICE]]*InputData[[#This Row],[QUANTITY]]*(1-InputData[[#This Row],[DISCOUNT %]])</f>
        <v>1134</v>
      </c>
      <c r="N54" s="12">
        <f>DAY(InputData[[#This Row],[DATE]])</f>
        <v>7</v>
      </c>
      <c r="O54" s="12" t="str">
        <f>TEXT(InputData[[#This Row],[DATE]],"mmm")</f>
        <v>Mar</v>
      </c>
      <c r="P54" s="12">
        <f>YEAR(InputData[[#This Row],[DATE]])</f>
        <v>2021</v>
      </c>
      <c r="Q54" s="12"/>
    </row>
    <row r="55" spans="1:17" x14ac:dyDescent="0.3">
      <c r="A55" s="10">
        <v>44263</v>
      </c>
      <c r="B55" s="11" t="s">
        <v>63</v>
      </c>
      <c r="C55" s="12">
        <v>6</v>
      </c>
      <c r="D55" s="12" t="s">
        <v>106</v>
      </c>
      <c r="E55" s="12" t="s">
        <v>107</v>
      </c>
      <c r="F55" s="13">
        <v>0</v>
      </c>
      <c r="G55" s="12" t="str">
        <f>VLOOKUP(InputData[[#This Row],[PRODUCT ID]],MasterData[],2,0)</f>
        <v>Product27</v>
      </c>
      <c r="H55" s="12" t="str">
        <f>VLOOKUP(InputData[[#This Row],[PRODUCT ID]],MasterData[],3,0)</f>
        <v>Category04</v>
      </c>
      <c r="I55" s="12" t="str">
        <f>VLOOKUP(InputData[[#This Row],[PRODUCT ID]],MasterData[],4,0)</f>
        <v>Lt</v>
      </c>
      <c r="J55" s="14">
        <f>VLOOKUP(InputData[[#This Row],[PRODUCT ID]],MasterData[],5,0)</f>
        <v>48</v>
      </c>
      <c r="K55" s="14">
        <f>VLOOKUP(InputData[[#This Row],[PRODUCT ID]],MasterData[],5,0)</f>
        <v>48</v>
      </c>
      <c r="L55" s="14">
        <f>InputData[[#This Row],[BUYING PRIZE]]*InputData[[#This Row],[QUANTITY]]</f>
        <v>288</v>
      </c>
      <c r="M55" s="14">
        <f>InputData[[#This Row],[SELLING PRICE]]*InputData[[#This Row],[QUANTITY]]*(1-InputData[[#This Row],[DISCOUNT %]])</f>
        <v>288</v>
      </c>
      <c r="N55" s="12">
        <f>DAY(InputData[[#This Row],[DATE]])</f>
        <v>8</v>
      </c>
      <c r="O55" s="12" t="str">
        <f>TEXT(InputData[[#This Row],[DATE]],"mmm")</f>
        <v>Mar</v>
      </c>
      <c r="P55" s="12">
        <f>YEAR(InputData[[#This Row],[DATE]])</f>
        <v>2021</v>
      </c>
      <c r="Q55" s="12"/>
    </row>
    <row r="56" spans="1:17" x14ac:dyDescent="0.3">
      <c r="A56" s="10">
        <v>44263</v>
      </c>
      <c r="B56" s="11" t="s">
        <v>98</v>
      </c>
      <c r="C56" s="12">
        <v>9</v>
      </c>
      <c r="D56" s="12" t="s">
        <v>106</v>
      </c>
      <c r="E56" s="12" t="s">
        <v>106</v>
      </c>
      <c r="F56" s="13">
        <v>0</v>
      </c>
      <c r="G56" s="12" t="str">
        <f>VLOOKUP(InputData[[#This Row],[PRODUCT ID]],MasterData[],2,0)</f>
        <v>Product44</v>
      </c>
      <c r="H56" s="12" t="str">
        <f>VLOOKUP(InputData[[#This Row],[PRODUCT ID]],MasterData[],3,0)</f>
        <v>Category05</v>
      </c>
      <c r="I56" s="12" t="str">
        <f>VLOOKUP(InputData[[#This Row],[PRODUCT ID]],MasterData[],4,0)</f>
        <v>Kg</v>
      </c>
      <c r="J56" s="14">
        <f>VLOOKUP(InputData[[#This Row],[PRODUCT ID]],MasterData[],5,0)</f>
        <v>76</v>
      </c>
      <c r="K56" s="14">
        <f>VLOOKUP(InputData[[#This Row],[PRODUCT ID]],MasterData[],5,0)</f>
        <v>76</v>
      </c>
      <c r="L56" s="14">
        <f>InputData[[#This Row],[BUYING PRIZE]]*InputData[[#This Row],[QUANTITY]]</f>
        <v>684</v>
      </c>
      <c r="M56" s="14">
        <f>InputData[[#This Row],[SELLING PRICE]]*InputData[[#This Row],[QUANTITY]]*(1-InputData[[#This Row],[DISCOUNT %]])</f>
        <v>684</v>
      </c>
      <c r="N56" s="12">
        <f>DAY(InputData[[#This Row],[DATE]])</f>
        <v>8</v>
      </c>
      <c r="O56" s="12" t="str">
        <f>TEXT(InputData[[#This Row],[DATE]],"mmm")</f>
        <v>Mar</v>
      </c>
      <c r="P56" s="12">
        <f>YEAR(InputData[[#This Row],[DATE]])</f>
        <v>2021</v>
      </c>
      <c r="Q56" s="12"/>
    </row>
    <row r="57" spans="1:17" x14ac:dyDescent="0.3">
      <c r="A57" s="10">
        <v>44264</v>
      </c>
      <c r="B57" s="11" t="s">
        <v>67</v>
      </c>
      <c r="C57" s="12">
        <v>6</v>
      </c>
      <c r="D57" s="12" t="s">
        <v>105</v>
      </c>
      <c r="E57" s="12" t="s">
        <v>106</v>
      </c>
      <c r="F57" s="13">
        <v>0</v>
      </c>
      <c r="G57" s="12" t="str">
        <f>VLOOKUP(InputData[[#This Row],[PRODUCT ID]],MasterData[],2,0)</f>
        <v>Product29</v>
      </c>
      <c r="H57" s="12" t="str">
        <f>VLOOKUP(InputData[[#This Row],[PRODUCT ID]],MasterData[],3,0)</f>
        <v>Category04</v>
      </c>
      <c r="I57" s="12" t="str">
        <f>VLOOKUP(InputData[[#This Row],[PRODUCT ID]],MasterData[],4,0)</f>
        <v>Lt</v>
      </c>
      <c r="J57" s="14">
        <f>VLOOKUP(InputData[[#This Row],[PRODUCT ID]],MasterData[],5,0)</f>
        <v>47</v>
      </c>
      <c r="K57" s="14">
        <f>VLOOKUP(InputData[[#This Row],[PRODUCT ID]],MasterData[],5,0)</f>
        <v>47</v>
      </c>
      <c r="L57" s="14">
        <f>InputData[[#This Row],[BUYING PRIZE]]*InputData[[#This Row],[QUANTITY]]</f>
        <v>282</v>
      </c>
      <c r="M57" s="14">
        <f>InputData[[#This Row],[SELLING PRICE]]*InputData[[#This Row],[QUANTITY]]*(1-InputData[[#This Row],[DISCOUNT %]])</f>
        <v>282</v>
      </c>
      <c r="N57" s="12">
        <f>DAY(InputData[[#This Row],[DATE]])</f>
        <v>9</v>
      </c>
      <c r="O57" s="12" t="str">
        <f>TEXT(InputData[[#This Row],[DATE]],"mmm")</f>
        <v>Mar</v>
      </c>
      <c r="P57" s="12">
        <f>YEAR(InputData[[#This Row],[DATE]])</f>
        <v>2021</v>
      </c>
      <c r="Q57" s="12"/>
    </row>
    <row r="58" spans="1:17" x14ac:dyDescent="0.3">
      <c r="A58" s="10">
        <v>44266</v>
      </c>
      <c r="B58" s="11" t="s">
        <v>58</v>
      </c>
      <c r="C58" s="12">
        <v>11</v>
      </c>
      <c r="D58" s="12" t="s">
        <v>108</v>
      </c>
      <c r="E58" s="12" t="s">
        <v>107</v>
      </c>
      <c r="F58" s="13">
        <v>0</v>
      </c>
      <c r="G58" s="12" t="str">
        <f>VLOOKUP(InputData[[#This Row],[PRODUCT ID]],MasterData[],2,0)</f>
        <v>Product25</v>
      </c>
      <c r="H58" s="12" t="str">
        <f>VLOOKUP(InputData[[#This Row],[PRODUCT ID]],MasterData[],3,0)</f>
        <v>Category03</v>
      </c>
      <c r="I58" s="12" t="str">
        <f>VLOOKUP(InputData[[#This Row],[PRODUCT ID]],MasterData[],4,0)</f>
        <v>No.</v>
      </c>
      <c r="J58" s="14">
        <f>VLOOKUP(InputData[[#This Row],[PRODUCT ID]],MasterData[],5,0)</f>
        <v>7</v>
      </c>
      <c r="K58" s="14">
        <f>VLOOKUP(InputData[[#This Row],[PRODUCT ID]],MasterData[],5,0)</f>
        <v>7</v>
      </c>
      <c r="L58" s="14">
        <f>InputData[[#This Row],[BUYING PRIZE]]*InputData[[#This Row],[QUANTITY]]</f>
        <v>77</v>
      </c>
      <c r="M58" s="14">
        <f>InputData[[#This Row],[SELLING PRICE]]*InputData[[#This Row],[QUANTITY]]*(1-InputData[[#This Row],[DISCOUNT %]])</f>
        <v>77</v>
      </c>
      <c r="N58" s="12">
        <f>DAY(InputData[[#This Row],[DATE]])</f>
        <v>11</v>
      </c>
      <c r="O58" s="12" t="str">
        <f>TEXT(InputData[[#This Row],[DATE]],"mmm")</f>
        <v>Mar</v>
      </c>
      <c r="P58" s="12">
        <f>YEAR(InputData[[#This Row],[DATE]])</f>
        <v>2021</v>
      </c>
      <c r="Q58" s="12"/>
    </row>
    <row r="59" spans="1:17" x14ac:dyDescent="0.3">
      <c r="A59" s="10">
        <v>44268</v>
      </c>
      <c r="B59" s="11" t="s">
        <v>65</v>
      </c>
      <c r="C59" s="12">
        <v>10</v>
      </c>
      <c r="D59" s="12" t="s">
        <v>105</v>
      </c>
      <c r="E59" s="12" t="s">
        <v>107</v>
      </c>
      <c r="F59" s="13">
        <v>0</v>
      </c>
      <c r="G59" s="12" t="str">
        <f>VLOOKUP(InputData[[#This Row],[PRODUCT ID]],MasterData[],2,0)</f>
        <v>Product28</v>
      </c>
      <c r="H59" s="12" t="str">
        <f>VLOOKUP(InputData[[#This Row],[PRODUCT ID]],MasterData[],3,0)</f>
        <v>Category04</v>
      </c>
      <c r="I59" s="12" t="str">
        <f>VLOOKUP(InputData[[#This Row],[PRODUCT ID]],MasterData[],4,0)</f>
        <v>No.</v>
      </c>
      <c r="J59" s="14">
        <f>VLOOKUP(InputData[[#This Row],[PRODUCT ID]],MasterData[],5,0)</f>
        <v>37</v>
      </c>
      <c r="K59" s="14">
        <f>VLOOKUP(InputData[[#This Row],[PRODUCT ID]],MasterData[],5,0)</f>
        <v>37</v>
      </c>
      <c r="L59" s="14">
        <f>InputData[[#This Row],[BUYING PRIZE]]*InputData[[#This Row],[QUANTITY]]</f>
        <v>370</v>
      </c>
      <c r="M59" s="14">
        <f>InputData[[#This Row],[SELLING PRICE]]*InputData[[#This Row],[QUANTITY]]*(1-InputData[[#This Row],[DISCOUNT %]])</f>
        <v>370</v>
      </c>
      <c r="N59" s="12">
        <f>DAY(InputData[[#This Row],[DATE]])</f>
        <v>13</v>
      </c>
      <c r="O59" s="12" t="str">
        <f>TEXT(InputData[[#This Row],[DATE]],"mmm")</f>
        <v>Mar</v>
      </c>
      <c r="P59" s="12">
        <f>YEAR(InputData[[#This Row],[DATE]])</f>
        <v>2021</v>
      </c>
      <c r="Q59" s="12"/>
    </row>
    <row r="60" spans="1:17" x14ac:dyDescent="0.3">
      <c r="A60" s="10">
        <v>44270</v>
      </c>
      <c r="B60" s="11" t="s">
        <v>88</v>
      </c>
      <c r="C60" s="12">
        <v>11</v>
      </c>
      <c r="D60" s="12" t="s">
        <v>106</v>
      </c>
      <c r="E60" s="12" t="s">
        <v>107</v>
      </c>
      <c r="F60" s="13">
        <v>0</v>
      </c>
      <c r="G60" s="12" t="str">
        <f>VLOOKUP(InputData[[#This Row],[PRODUCT ID]],MasterData[],2,0)</f>
        <v>Product39</v>
      </c>
      <c r="H60" s="12" t="str">
        <f>VLOOKUP(InputData[[#This Row],[PRODUCT ID]],MasterData[],3,0)</f>
        <v>Category05</v>
      </c>
      <c r="I60" s="12" t="str">
        <f>VLOOKUP(InputData[[#This Row],[PRODUCT ID]],MasterData[],4,0)</f>
        <v>No.</v>
      </c>
      <c r="J60" s="14">
        <f>VLOOKUP(InputData[[#This Row],[PRODUCT ID]],MasterData[],5,0)</f>
        <v>37</v>
      </c>
      <c r="K60" s="14">
        <f>VLOOKUP(InputData[[#This Row],[PRODUCT ID]],MasterData[],5,0)</f>
        <v>37</v>
      </c>
      <c r="L60" s="14">
        <f>InputData[[#This Row],[BUYING PRIZE]]*InputData[[#This Row],[QUANTITY]]</f>
        <v>407</v>
      </c>
      <c r="M60" s="14">
        <f>InputData[[#This Row],[SELLING PRICE]]*InputData[[#This Row],[QUANTITY]]*(1-InputData[[#This Row],[DISCOUNT %]])</f>
        <v>407</v>
      </c>
      <c r="N60" s="12">
        <f>DAY(InputData[[#This Row],[DATE]])</f>
        <v>15</v>
      </c>
      <c r="O60" s="12" t="str">
        <f>TEXT(InputData[[#This Row],[DATE]],"mmm")</f>
        <v>Mar</v>
      </c>
      <c r="P60" s="12">
        <f>YEAR(InputData[[#This Row],[DATE]])</f>
        <v>2021</v>
      </c>
      <c r="Q60" s="12"/>
    </row>
    <row r="61" spans="1:17" x14ac:dyDescent="0.3">
      <c r="A61" s="10">
        <v>44271</v>
      </c>
      <c r="B61" s="11" t="s">
        <v>31</v>
      </c>
      <c r="C61" s="12">
        <v>14</v>
      </c>
      <c r="D61" s="12" t="s">
        <v>108</v>
      </c>
      <c r="E61" s="12" t="s">
        <v>107</v>
      </c>
      <c r="F61" s="13">
        <v>0</v>
      </c>
      <c r="G61" s="12" t="str">
        <f>VLOOKUP(InputData[[#This Row],[PRODUCT ID]],MasterData[],2,0)</f>
        <v>Product12</v>
      </c>
      <c r="H61" s="12" t="str">
        <f>VLOOKUP(InputData[[#This Row],[PRODUCT ID]],MasterData[],3,0)</f>
        <v>Category02</v>
      </c>
      <c r="I61" s="12" t="str">
        <f>VLOOKUP(InputData[[#This Row],[PRODUCT ID]],MasterData[],4,0)</f>
        <v>Kg</v>
      </c>
      <c r="J61" s="14">
        <f>VLOOKUP(InputData[[#This Row],[PRODUCT ID]],MasterData[],5,0)</f>
        <v>73</v>
      </c>
      <c r="K61" s="14">
        <f>VLOOKUP(InputData[[#This Row],[PRODUCT ID]],MasterData[],5,0)</f>
        <v>73</v>
      </c>
      <c r="L61" s="14">
        <f>InputData[[#This Row],[BUYING PRIZE]]*InputData[[#This Row],[QUANTITY]]</f>
        <v>1022</v>
      </c>
      <c r="M61" s="14">
        <f>InputData[[#This Row],[SELLING PRICE]]*InputData[[#This Row],[QUANTITY]]*(1-InputData[[#This Row],[DISCOUNT %]])</f>
        <v>1022</v>
      </c>
      <c r="N61" s="12">
        <f>DAY(InputData[[#This Row],[DATE]])</f>
        <v>16</v>
      </c>
      <c r="O61" s="12" t="str">
        <f>TEXT(InputData[[#This Row],[DATE]],"mmm")</f>
        <v>Mar</v>
      </c>
      <c r="P61" s="12">
        <f>YEAR(InputData[[#This Row],[DATE]])</f>
        <v>2021</v>
      </c>
      <c r="Q61" s="12"/>
    </row>
    <row r="62" spans="1:17" x14ac:dyDescent="0.3">
      <c r="A62" s="10">
        <v>44273</v>
      </c>
      <c r="B62" s="11" t="s">
        <v>94</v>
      </c>
      <c r="C62" s="12">
        <v>8</v>
      </c>
      <c r="D62" s="12" t="s">
        <v>105</v>
      </c>
      <c r="E62" s="12" t="s">
        <v>107</v>
      </c>
      <c r="F62" s="13">
        <v>0</v>
      </c>
      <c r="G62" s="12" t="str">
        <f>VLOOKUP(InputData[[#This Row],[PRODUCT ID]],MasterData[],2,0)</f>
        <v>Product42</v>
      </c>
      <c r="H62" s="12" t="str">
        <f>VLOOKUP(InputData[[#This Row],[PRODUCT ID]],MasterData[],3,0)</f>
        <v>Category05</v>
      </c>
      <c r="I62" s="12" t="str">
        <f>VLOOKUP(InputData[[#This Row],[PRODUCT ID]],MasterData[],4,0)</f>
        <v>Ft</v>
      </c>
      <c r="J62" s="14">
        <f>VLOOKUP(InputData[[#This Row],[PRODUCT ID]],MasterData[],5,0)</f>
        <v>120</v>
      </c>
      <c r="K62" s="14">
        <f>VLOOKUP(InputData[[#This Row],[PRODUCT ID]],MasterData[],5,0)</f>
        <v>120</v>
      </c>
      <c r="L62" s="14">
        <f>InputData[[#This Row],[BUYING PRIZE]]*InputData[[#This Row],[QUANTITY]]</f>
        <v>960</v>
      </c>
      <c r="M62" s="14">
        <f>InputData[[#This Row],[SELLING PRICE]]*InputData[[#This Row],[QUANTITY]]*(1-InputData[[#This Row],[DISCOUNT %]])</f>
        <v>960</v>
      </c>
      <c r="N62" s="12">
        <f>DAY(InputData[[#This Row],[DATE]])</f>
        <v>18</v>
      </c>
      <c r="O62" s="12" t="str">
        <f>TEXT(InputData[[#This Row],[DATE]],"mmm")</f>
        <v>Mar</v>
      </c>
      <c r="P62" s="12">
        <f>YEAR(InputData[[#This Row],[DATE]])</f>
        <v>2021</v>
      </c>
      <c r="Q62" s="12"/>
    </row>
    <row r="63" spans="1:17" x14ac:dyDescent="0.3">
      <c r="A63" s="10">
        <v>44274</v>
      </c>
      <c r="B63" s="11" t="s">
        <v>65</v>
      </c>
      <c r="C63" s="12">
        <v>9</v>
      </c>
      <c r="D63" s="12" t="s">
        <v>106</v>
      </c>
      <c r="E63" s="12" t="s">
        <v>107</v>
      </c>
      <c r="F63" s="13">
        <v>0</v>
      </c>
      <c r="G63" s="12" t="str">
        <f>VLOOKUP(InputData[[#This Row],[PRODUCT ID]],MasterData[],2,0)</f>
        <v>Product28</v>
      </c>
      <c r="H63" s="12" t="str">
        <f>VLOOKUP(InputData[[#This Row],[PRODUCT ID]],MasterData[],3,0)</f>
        <v>Category04</v>
      </c>
      <c r="I63" s="12" t="str">
        <f>VLOOKUP(InputData[[#This Row],[PRODUCT ID]],MasterData[],4,0)</f>
        <v>No.</v>
      </c>
      <c r="J63" s="14">
        <f>VLOOKUP(InputData[[#This Row],[PRODUCT ID]],MasterData[],5,0)</f>
        <v>37</v>
      </c>
      <c r="K63" s="14">
        <f>VLOOKUP(InputData[[#This Row],[PRODUCT ID]],MasterData[],5,0)</f>
        <v>37</v>
      </c>
      <c r="L63" s="14">
        <f>InputData[[#This Row],[BUYING PRIZE]]*InputData[[#This Row],[QUANTITY]]</f>
        <v>333</v>
      </c>
      <c r="M63" s="14">
        <f>InputData[[#This Row],[SELLING PRICE]]*InputData[[#This Row],[QUANTITY]]*(1-InputData[[#This Row],[DISCOUNT %]])</f>
        <v>333</v>
      </c>
      <c r="N63" s="12">
        <f>DAY(InputData[[#This Row],[DATE]])</f>
        <v>19</v>
      </c>
      <c r="O63" s="12" t="str">
        <f>TEXT(InputData[[#This Row],[DATE]],"mmm")</f>
        <v>Mar</v>
      </c>
      <c r="P63" s="12">
        <f>YEAR(InputData[[#This Row],[DATE]])</f>
        <v>2021</v>
      </c>
      <c r="Q63" s="12"/>
    </row>
    <row r="64" spans="1:17" x14ac:dyDescent="0.3">
      <c r="A64" s="10">
        <v>44276</v>
      </c>
      <c r="B64" s="11" t="s">
        <v>47</v>
      </c>
      <c r="C64" s="12">
        <v>13</v>
      </c>
      <c r="D64" s="12" t="s">
        <v>106</v>
      </c>
      <c r="E64" s="12" t="s">
        <v>106</v>
      </c>
      <c r="F64" s="13">
        <v>0</v>
      </c>
      <c r="G64" s="12" t="str">
        <f>VLOOKUP(InputData[[#This Row],[PRODUCT ID]],MasterData[],2,0)</f>
        <v>Product20</v>
      </c>
      <c r="H64" s="12" t="str">
        <f>VLOOKUP(InputData[[#This Row],[PRODUCT ID]],MasterData[],3,0)</f>
        <v>Category03</v>
      </c>
      <c r="I64" s="12" t="str">
        <f>VLOOKUP(InputData[[#This Row],[PRODUCT ID]],MasterData[],4,0)</f>
        <v>Lt</v>
      </c>
      <c r="J64" s="14">
        <f>VLOOKUP(InputData[[#This Row],[PRODUCT ID]],MasterData[],5,0)</f>
        <v>61</v>
      </c>
      <c r="K64" s="14">
        <f>VLOOKUP(InputData[[#This Row],[PRODUCT ID]],MasterData[],5,0)</f>
        <v>61</v>
      </c>
      <c r="L64" s="14">
        <f>InputData[[#This Row],[BUYING PRIZE]]*InputData[[#This Row],[QUANTITY]]</f>
        <v>793</v>
      </c>
      <c r="M64" s="14">
        <f>InputData[[#This Row],[SELLING PRICE]]*InputData[[#This Row],[QUANTITY]]*(1-InputData[[#This Row],[DISCOUNT %]])</f>
        <v>793</v>
      </c>
      <c r="N64" s="12">
        <f>DAY(InputData[[#This Row],[DATE]])</f>
        <v>21</v>
      </c>
      <c r="O64" s="12" t="str">
        <f>TEXT(InputData[[#This Row],[DATE]],"mmm")</f>
        <v>Mar</v>
      </c>
      <c r="P64" s="12">
        <f>YEAR(InputData[[#This Row],[DATE]])</f>
        <v>2021</v>
      </c>
      <c r="Q64" s="12"/>
    </row>
    <row r="65" spans="1:17" x14ac:dyDescent="0.3">
      <c r="A65" s="10">
        <v>44276</v>
      </c>
      <c r="B65" s="11" t="s">
        <v>88</v>
      </c>
      <c r="C65" s="12">
        <v>7</v>
      </c>
      <c r="D65" s="12" t="s">
        <v>108</v>
      </c>
      <c r="E65" s="12" t="s">
        <v>106</v>
      </c>
      <c r="F65" s="13">
        <v>0</v>
      </c>
      <c r="G65" s="12" t="str">
        <f>VLOOKUP(InputData[[#This Row],[PRODUCT ID]],MasterData[],2,0)</f>
        <v>Product39</v>
      </c>
      <c r="H65" s="12" t="str">
        <f>VLOOKUP(InputData[[#This Row],[PRODUCT ID]],MasterData[],3,0)</f>
        <v>Category05</v>
      </c>
      <c r="I65" s="12" t="str">
        <f>VLOOKUP(InputData[[#This Row],[PRODUCT ID]],MasterData[],4,0)</f>
        <v>No.</v>
      </c>
      <c r="J65" s="14">
        <f>VLOOKUP(InputData[[#This Row],[PRODUCT ID]],MasterData[],5,0)</f>
        <v>37</v>
      </c>
      <c r="K65" s="14">
        <f>VLOOKUP(InputData[[#This Row],[PRODUCT ID]],MasterData[],5,0)</f>
        <v>37</v>
      </c>
      <c r="L65" s="14">
        <f>InputData[[#This Row],[BUYING PRIZE]]*InputData[[#This Row],[QUANTITY]]</f>
        <v>259</v>
      </c>
      <c r="M65" s="14">
        <f>InputData[[#This Row],[SELLING PRICE]]*InputData[[#This Row],[QUANTITY]]*(1-InputData[[#This Row],[DISCOUNT %]])</f>
        <v>259</v>
      </c>
      <c r="N65" s="12">
        <f>DAY(InputData[[#This Row],[DATE]])</f>
        <v>21</v>
      </c>
      <c r="O65" s="12" t="str">
        <f>TEXT(InputData[[#This Row],[DATE]],"mmm")</f>
        <v>Mar</v>
      </c>
      <c r="P65" s="12">
        <f>YEAR(InputData[[#This Row],[DATE]])</f>
        <v>2021</v>
      </c>
      <c r="Q65" s="12"/>
    </row>
    <row r="66" spans="1:17" x14ac:dyDescent="0.3">
      <c r="A66" s="10">
        <v>44277</v>
      </c>
      <c r="B66" s="11" t="s">
        <v>10</v>
      </c>
      <c r="C66" s="12">
        <v>8</v>
      </c>
      <c r="D66" s="12" t="s">
        <v>106</v>
      </c>
      <c r="E66" s="12" t="s">
        <v>106</v>
      </c>
      <c r="F66" s="13">
        <v>0</v>
      </c>
      <c r="G66" s="12" t="str">
        <f>VLOOKUP(InputData[[#This Row],[PRODUCT ID]],MasterData[],2,0)</f>
        <v>Product02</v>
      </c>
      <c r="H66" s="12" t="str">
        <f>VLOOKUP(InputData[[#This Row],[PRODUCT ID]],MasterData[],3,0)</f>
        <v>Category01</v>
      </c>
      <c r="I66" s="12" t="str">
        <f>VLOOKUP(InputData[[#This Row],[PRODUCT ID]],MasterData[],4,0)</f>
        <v>Kg</v>
      </c>
      <c r="J66" s="14">
        <f>VLOOKUP(InputData[[#This Row],[PRODUCT ID]],MasterData[],5,0)</f>
        <v>105</v>
      </c>
      <c r="K66" s="14">
        <f>VLOOKUP(InputData[[#This Row],[PRODUCT ID]],MasterData[],5,0)</f>
        <v>105</v>
      </c>
      <c r="L66" s="14">
        <f>InputData[[#This Row],[BUYING PRIZE]]*InputData[[#This Row],[QUANTITY]]</f>
        <v>840</v>
      </c>
      <c r="M66" s="14">
        <f>InputData[[#This Row],[SELLING PRICE]]*InputData[[#This Row],[QUANTITY]]*(1-InputData[[#This Row],[DISCOUNT %]])</f>
        <v>840</v>
      </c>
      <c r="N66" s="12">
        <f>DAY(InputData[[#This Row],[DATE]])</f>
        <v>22</v>
      </c>
      <c r="O66" s="12" t="str">
        <f>TEXT(InputData[[#This Row],[DATE]],"mmm")</f>
        <v>Mar</v>
      </c>
      <c r="P66" s="12">
        <f>YEAR(InputData[[#This Row],[DATE]])</f>
        <v>2021</v>
      </c>
      <c r="Q66" s="12"/>
    </row>
    <row r="67" spans="1:17" x14ac:dyDescent="0.3">
      <c r="A67" s="10">
        <v>44277</v>
      </c>
      <c r="B67" s="11" t="s">
        <v>31</v>
      </c>
      <c r="C67" s="12">
        <v>4</v>
      </c>
      <c r="D67" s="12" t="s">
        <v>106</v>
      </c>
      <c r="E67" s="12" t="s">
        <v>106</v>
      </c>
      <c r="F67" s="13">
        <v>0</v>
      </c>
      <c r="G67" s="12" t="str">
        <f>VLOOKUP(InputData[[#This Row],[PRODUCT ID]],MasterData[],2,0)</f>
        <v>Product12</v>
      </c>
      <c r="H67" s="12" t="str">
        <f>VLOOKUP(InputData[[#This Row],[PRODUCT ID]],MasterData[],3,0)</f>
        <v>Category02</v>
      </c>
      <c r="I67" s="12" t="str">
        <f>VLOOKUP(InputData[[#This Row],[PRODUCT ID]],MasterData[],4,0)</f>
        <v>Kg</v>
      </c>
      <c r="J67" s="14">
        <f>VLOOKUP(InputData[[#This Row],[PRODUCT ID]],MasterData[],5,0)</f>
        <v>73</v>
      </c>
      <c r="K67" s="14">
        <f>VLOOKUP(InputData[[#This Row],[PRODUCT ID]],MasterData[],5,0)</f>
        <v>73</v>
      </c>
      <c r="L67" s="14">
        <f>InputData[[#This Row],[BUYING PRIZE]]*InputData[[#This Row],[QUANTITY]]</f>
        <v>292</v>
      </c>
      <c r="M67" s="14">
        <f>InputData[[#This Row],[SELLING PRICE]]*InputData[[#This Row],[QUANTITY]]*(1-InputData[[#This Row],[DISCOUNT %]])</f>
        <v>292</v>
      </c>
      <c r="N67" s="12">
        <f>DAY(InputData[[#This Row],[DATE]])</f>
        <v>22</v>
      </c>
      <c r="O67" s="12" t="str">
        <f>TEXT(InputData[[#This Row],[DATE]],"mmm")</f>
        <v>Mar</v>
      </c>
      <c r="P67" s="12">
        <f>YEAR(InputData[[#This Row],[DATE]])</f>
        <v>2021</v>
      </c>
      <c r="Q67" s="12"/>
    </row>
    <row r="68" spans="1:17" x14ac:dyDescent="0.3">
      <c r="A68" s="10">
        <v>44280</v>
      </c>
      <c r="B68" s="11" t="s">
        <v>56</v>
      </c>
      <c r="C68" s="12">
        <v>14</v>
      </c>
      <c r="D68" s="12" t="s">
        <v>106</v>
      </c>
      <c r="E68" s="12" t="s">
        <v>107</v>
      </c>
      <c r="F68" s="13">
        <v>0</v>
      </c>
      <c r="G68" s="12" t="str">
        <f>VLOOKUP(InputData[[#This Row],[PRODUCT ID]],MasterData[],2,0)</f>
        <v>Product24</v>
      </c>
      <c r="H68" s="12" t="str">
        <f>VLOOKUP(InputData[[#This Row],[PRODUCT ID]],MasterData[],3,0)</f>
        <v>Category03</v>
      </c>
      <c r="I68" s="12" t="str">
        <f>VLOOKUP(InputData[[#This Row],[PRODUCT ID]],MasterData[],4,0)</f>
        <v>Ft</v>
      </c>
      <c r="J68" s="14">
        <f>VLOOKUP(InputData[[#This Row],[PRODUCT ID]],MasterData[],5,0)</f>
        <v>144</v>
      </c>
      <c r="K68" s="14">
        <f>VLOOKUP(InputData[[#This Row],[PRODUCT ID]],MasterData[],5,0)</f>
        <v>144</v>
      </c>
      <c r="L68" s="14">
        <f>InputData[[#This Row],[BUYING PRIZE]]*InputData[[#This Row],[QUANTITY]]</f>
        <v>2016</v>
      </c>
      <c r="M68" s="14">
        <f>InputData[[#This Row],[SELLING PRICE]]*InputData[[#This Row],[QUANTITY]]*(1-InputData[[#This Row],[DISCOUNT %]])</f>
        <v>2016</v>
      </c>
      <c r="N68" s="12">
        <f>DAY(InputData[[#This Row],[DATE]])</f>
        <v>25</v>
      </c>
      <c r="O68" s="12" t="str">
        <f>TEXT(InputData[[#This Row],[DATE]],"mmm")</f>
        <v>Mar</v>
      </c>
      <c r="P68" s="12">
        <f>YEAR(InputData[[#This Row],[DATE]])</f>
        <v>2021</v>
      </c>
      <c r="Q68" s="12"/>
    </row>
    <row r="69" spans="1:17" x14ac:dyDescent="0.3">
      <c r="A69" s="10">
        <v>44280</v>
      </c>
      <c r="B69" s="11" t="s">
        <v>18</v>
      </c>
      <c r="C69" s="12">
        <v>4</v>
      </c>
      <c r="D69" s="12" t="s">
        <v>108</v>
      </c>
      <c r="E69" s="12" t="s">
        <v>107</v>
      </c>
      <c r="F69" s="13">
        <v>0</v>
      </c>
      <c r="G69" s="12" t="str">
        <f>VLOOKUP(InputData[[#This Row],[PRODUCT ID]],MasterData[],2,0)</f>
        <v>Product06</v>
      </c>
      <c r="H69" s="12" t="str">
        <f>VLOOKUP(InputData[[#This Row],[PRODUCT ID]],MasterData[],3,0)</f>
        <v>Category01</v>
      </c>
      <c r="I69" s="12" t="str">
        <f>VLOOKUP(InputData[[#This Row],[PRODUCT ID]],MasterData[],4,0)</f>
        <v>Kg</v>
      </c>
      <c r="J69" s="14">
        <f>VLOOKUP(InputData[[#This Row],[PRODUCT ID]],MasterData[],5,0)</f>
        <v>75</v>
      </c>
      <c r="K69" s="14">
        <f>VLOOKUP(InputData[[#This Row],[PRODUCT ID]],MasterData[],5,0)</f>
        <v>75</v>
      </c>
      <c r="L69" s="14">
        <f>InputData[[#This Row],[BUYING PRIZE]]*InputData[[#This Row],[QUANTITY]]</f>
        <v>300</v>
      </c>
      <c r="M69" s="14">
        <f>InputData[[#This Row],[SELLING PRICE]]*InputData[[#This Row],[QUANTITY]]*(1-InputData[[#This Row],[DISCOUNT %]])</f>
        <v>300</v>
      </c>
      <c r="N69" s="12">
        <f>DAY(InputData[[#This Row],[DATE]])</f>
        <v>25</v>
      </c>
      <c r="O69" s="12" t="str">
        <f>TEXT(InputData[[#This Row],[DATE]],"mmm")</f>
        <v>Mar</v>
      </c>
      <c r="P69" s="12">
        <f>YEAR(InputData[[#This Row],[DATE]])</f>
        <v>2021</v>
      </c>
      <c r="Q69" s="12"/>
    </row>
    <row r="70" spans="1:17" x14ac:dyDescent="0.3">
      <c r="A70" s="10">
        <v>44280</v>
      </c>
      <c r="B70" s="11" t="s">
        <v>67</v>
      </c>
      <c r="C70" s="12">
        <v>8</v>
      </c>
      <c r="D70" s="12" t="s">
        <v>108</v>
      </c>
      <c r="E70" s="12" t="s">
        <v>107</v>
      </c>
      <c r="F70" s="13">
        <v>0</v>
      </c>
      <c r="G70" s="12" t="str">
        <f>VLOOKUP(InputData[[#This Row],[PRODUCT ID]],MasterData[],2,0)</f>
        <v>Product29</v>
      </c>
      <c r="H70" s="12" t="str">
        <f>VLOOKUP(InputData[[#This Row],[PRODUCT ID]],MasterData[],3,0)</f>
        <v>Category04</v>
      </c>
      <c r="I70" s="12" t="str">
        <f>VLOOKUP(InputData[[#This Row],[PRODUCT ID]],MasterData[],4,0)</f>
        <v>Lt</v>
      </c>
      <c r="J70" s="14">
        <f>VLOOKUP(InputData[[#This Row],[PRODUCT ID]],MasterData[],5,0)</f>
        <v>47</v>
      </c>
      <c r="K70" s="14">
        <f>VLOOKUP(InputData[[#This Row],[PRODUCT ID]],MasterData[],5,0)</f>
        <v>47</v>
      </c>
      <c r="L70" s="14">
        <f>InputData[[#This Row],[BUYING PRIZE]]*InputData[[#This Row],[QUANTITY]]</f>
        <v>376</v>
      </c>
      <c r="M70" s="14">
        <f>InputData[[#This Row],[SELLING PRICE]]*InputData[[#This Row],[QUANTITY]]*(1-InputData[[#This Row],[DISCOUNT %]])</f>
        <v>376</v>
      </c>
      <c r="N70" s="12">
        <f>DAY(InputData[[#This Row],[DATE]])</f>
        <v>25</v>
      </c>
      <c r="O70" s="12" t="str">
        <f>TEXT(InputData[[#This Row],[DATE]],"mmm")</f>
        <v>Mar</v>
      </c>
      <c r="P70" s="12">
        <f>YEAR(InputData[[#This Row],[DATE]])</f>
        <v>2021</v>
      </c>
      <c r="Q70" s="12"/>
    </row>
    <row r="71" spans="1:17" x14ac:dyDescent="0.3">
      <c r="A71" s="10">
        <v>44280</v>
      </c>
      <c r="B71" s="11" t="s">
        <v>86</v>
      </c>
      <c r="C71" s="12">
        <v>2</v>
      </c>
      <c r="D71" s="12" t="s">
        <v>108</v>
      </c>
      <c r="E71" s="12" t="s">
        <v>106</v>
      </c>
      <c r="F71" s="13">
        <v>0</v>
      </c>
      <c r="G71" s="12" t="str">
        <f>VLOOKUP(InputData[[#This Row],[PRODUCT ID]],MasterData[],2,0)</f>
        <v>Product38</v>
      </c>
      <c r="H71" s="12" t="str">
        <f>VLOOKUP(InputData[[#This Row],[PRODUCT ID]],MasterData[],3,0)</f>
        <v>Category05</v>
      </c>
      <c r="I71" s="12" t="str">
        <f>VLOOKUP(InputData[[#This Row],[PRODUCT ID]],MasterData[],4,0)</f>
        <v>Kg</v>
      </c>
      <c r="J71" s="14">
        <f>VLOOKUP(InputData[[#This Row],[PRODUCT ID]],MasterData[],5,0)</f>
        <v>72</v>
      </c>
      <c r="K71" s="14">
        <f>VLOOKUP(InputData[[#This Row],[PRODUCT ID]],MasterData[],5,0)</f>
        <v>72</v>
      </c>
      <c r="L71" s="14">
        <f>InputData[[#This Row],[BUYING PRIZE]]*InputData[[#This Row],[QUANTITY]]</f>
        <v>144</v>
      </c>
      <c r="M71" s="14">
        <f>InputData[[#This Row],[SELLING PRICE]]*InputData[[#This Row],[QUANTITY]]*(1-InputData[[#This Row],[DISCOUNT %]])</f>
        <v>144</v>
      </c>
      <c r="N71" s="12">
        <f>DAY(InputData[[#This Row],[DATE]])</f>
        <v>25</v>
      </c>
      <c r="O71" s="12" t="str">
        <f>TEXT(InputData[[#This Row],[DATE]],"mmm")</f>
        <v>Mar</v>
      </c>
      <c r="P71" s="12">
        <f>YEAR(InputData[[#This Row],[DATE]])</f>
        <v>2021</v>
      </c>
      <c r="Q71" s="12"/>
    </row>
    <row r="72" spans="1:17" x14ac:dyDescent="0.3">
      <c r="A72" s="10">
        <v>44281</v>
      </c>
      <c r="B72" s="11" t="s">
        <v>6</v>
      </c>
      <c r="C72" s="12">
        <v>4</v>
      </c>
      <c r="D72" s="12" t="s">
        <v>108</v>
      </c>
      <c r="E72" s="12" t="s">
        <v>107</v>
      </c>
      <c r="F72" s="13">
        <v>0</v>
      </c>
      <c r="G72" s="12" t="str">
        <f>VLOOKUP(InputData[[#This Row],[PRODUCT ID]],MasterData[],2,0)</f>
        <v>Product01</v>
      </c>
      <c r="H72" s="12" t="str">
        <f>VLOOKUP(InputData[[#This Row],[PRODUCT ID]],MasterData[],3,0)</f>
        <v>Category01</v>
      </c>
      <c r="I72" s="12" t="str">
        <f>VLOOKUP(InputData[[#This Row],[PRODUCT ID]],MasterData[],4,0)</f>
        <v>Kg</v>
      </c>
      <c r="J72" s="14">
        <f>VLOOKUP(InputData[[#This Row],[PRODUCT ID]],MasterData[],5,0)</f>
        <v>98</v>
      </c>
      <c r="K72" s="14">
        <f>VLOOKUP(InputData[[#This Row],[PRODUCT ID]],MasterData[],5,0)</f>
        <v>98</v>
      </c>
      <c r="L72" s="14">
        <f>InputData[[#This Row],[BUYING PRIZE]]*InputData[[#This Row],[QUANTITY]]</f>
        <v>392</v>
      </c>
      <c r="M72" s="14">
        <f>InputData[[#This Row],[SELLING PRICE]]*InputData[[#This Row],[QUANTITY]]*(1-InputData[[#This Row],[DISCOUNT %]])</f>
        <v>392</v>
      </c>
      <c r="N72" s="12">
        <f>DAY(InputData[[#This Row],[DATE]])</f>
        <v>26</v>
      </c>
      <c r="O72" s="12" t="str">
        <f>TEXT(InputData[[#This Row],[DATE]],"mmm")</f>
        <v>Mar</v>
      </c>
      <c r="P72" s="12">
        <f>YEAR(InputData[[#This Row],[DATE]])</f>
        <v>2021</v>
      </c>
      <c r="Q72" s="12"/>
    </row>
    <row r="73" spans="1:17" x14ac:dyDescent="0.3">
      <c r="A73" s="10">
        <v>44281</v>
      </c>
      <c r="B73" s="11" t="s">
        <v>94</v>
      </c>
      <c r="C73" s="12">
        <v>1</v>
      </c>
      <c r="D73" s="12" t="s">
        <v>108</v>
      </c>
      <c r="E73" s="12" t="s">
        <v>107</v>
      </c>
      <c r="F73" s="13">
        <v>0</v>
      </c>
      <c r="G73" s="12" t="str">
        <f>VLOOKUP(InputData[[#This Row],[PRODUCT ID]],MasterData[],2,0)</f>
        <v>Product42</v>
      </c>
      <c r="H73" s="12" t="str">
        <f>VLOOKUP(InputData[[#This Row],[PRODUCT ID]],MasterData[],3,0)</f>
        <v>Category05</v>
      </c>
      <c r="I73" s="12" t="str">
        <f>VLOOKUP(InputData[[#This Row],[PRODUCT ID]],MasterData[],4,0)</f>
        <v>Ft</v>
      </c>
      <c r="J73" s="14">
        <f>VLOOKUP(InputData[[#This Row],[PRODUCT ID]],MasterData[],5,0)</f>
        <v>120</v>
      </c>
      <c r="K73" s="14">
        <f>VLOOKUP(InputData[[#This Row],[PRODUCT ID]],MasterData[],5,0)</f>
        <v>120</v>
      </c>
      <c r="L73" s="14">
        <f>InputData[[#This Row],[BUYING PRIZE]]*InputData[[#This Row],[QUANTITY]]</f>
        <v>120</v>
      </c>
      <c r="M73" s="14">
        <f>InputData[[#This Row],[SELLING PRICE]]*InputData[[#This Row],[QUANTITY]]*(1-InputData[[#This Row],[DISCOUNT %]])</f>
        <v>120</v>
      </c>
      <c r="N73" s="12">
        <f>DAY(InputData[[#This Row],[DATE]])</f>
        <v>26</v>
      </c>
      <c r="O73" s="12" t="str">
        <f>TEXT(InputData[[#This Row],[DATE]],"mmm")</f>
        <v>Mar</v>
      </c>
      <c r="P73" s="12">
        <f>YEAR(InputData[[#This Row],[DATE]])</f>
        <v>2021</v>
      </c>
      <c r="Q73" s="12"/>
    </row>
    <row r="74" spans="1:17" x14ac:dyDescent="0.3">
      <c r="A74" s="10">
        <v>44281</v>
      </c>
      <c r="B74" s="11" t="s">
        <v>26</v>
      </c>
      <c r="C74" s="12">
        <v>9</v>
      </c>
      <c r="D74" s="12" t="s">
        <v>108</v>
      </c>
      <c r="E74" s="12" t="s">
        <v>106</v>
      </c>
      <c r="F74" s="13">
        <v>0</v>
      </c>
      <c r="G74" s="12" t="str">
        <f>VLOOKUP(InputData[[#This Row],[PRODUCT ID]],MasterData[],2,0)</f>
        <v>Product10</v>
      </c>
      <c r="H74" s="12" t="str">
        <f>VLOOKUP(InputData[[#This Row],[PRODUCT ID]],MasterData[],3,0)</f>
        <v>Category02</v>
      </c>
      <c r="I74" s="12" t="str">
        <f>VLOOKUP(InputData[[#This Row],[PRODUCT ID]],MasterData[],4,0)</f>
        <v>Ft</v>
      </c>
      <c r="J74" s="14">
        <f>VLOOKUP(InputData[[#This Row],[PRODUCT ID]],MasterData[],5,0)</f>
        <v>148</v>
      </c>
      <c r="K74" s="14">
        <f>VLOOKUP(InputData[[#This Row],[PRODUCT ID]],MasterData[],5,0)</f>
        <v>148</v>
      </c>
      <c r="L74" s="14">
        <f>InputData[[#This Row],[BUYING PRIZE]]*InputData[[#This Row],[QUANTITY]]</f>
        <v>1332</v>
      </c>
      <c r="M74" s="14">
        <f>InputData[[#This Row],[SELLING PRICE]]*InputData[[#This Row],[QUANTITY]]*(1-InputData[[#This Row],[DISCOUNT %]])</f>
        <v>1332</v>
      </c>
      <c r="N74" s="12">
        <f>DAY(InputData[[#This Row],[DATE]])</f>
        <v>26</v>
      </c>
      <c r="O74" s="12" t="str">
        <f>TEXT(InputData[[#This Row],[DATE]],"mmm")</f>
        <v>Mar</v>
      </c>
      <c r="P74" s="12">
        <f>YEAR(InputData[[#This Row],[DATE]])</f>
        <v>2021</v>
      </c>
      <c r="Q74" s="12"/>
    </row>
    <row r="75" spans="1:17" x14ac:dyDescent="0.3">
      <c r="A75" s="10">
        <v>44282</v>
      </c>
      <c r="B75" s="11" t="s">
        <v>69</v>
      </c>
      <c r="C75" s="12">
        <v>3</v>
      </c>
      <c r="D75" s="12" t="s">
        <v>108</v>
      </c>
      <c r="E75" s="12" t="s">
        <v>106</v>
      </c>
      <c r="F75" s="13">
        <v>0</v>
      </c>
      <c r="G75" s="12" t="str">
        <f>VLOOKUP(InputData[[#This Row],[PRODUCT ID]],MasterData[],2,0)</f>
        <v>Product30</v>
      </c>
      <c r="H75" s="12" t="str">
        <f>VLOOKUP(InputData[[#This Row],[PRODUCT ID]],MasterData[],3,0)</f>
        <v>Category04</v>
      </c>
      <c r="I75" s="12" t="str">
        <f>VLOOKUP(InputData[[#This Row],[PRODUCT ID]],MasterData[],4,0)</f>
        <v>Ft</v>
      </c>
      <c r="J75" s="14">
        <f>VLOOKUP(InputData[[#This Row],[PRODUCT ID]],MasterData[],5,0)</f>
        <v>148</v>
      </c>
      <c r="K75" s="14">
        <f>VLOOKUP(InputData[[#This Row],[PRODUCT ID]],MasterData[],5,0)</f>
        <v>148</v>
      </c>
      <c r="L75" s="14">
        <f>InputData[[#This Row],[BUYING PRIZE]]*InputData[[#This Row],[QUANTITY]]</f>
        <v>444</v>
      </c>
      <c r="M75" s="14">
        <f>InputData[[#This Row],[SELLING PRICE]]*InputData[[#This Row],[QUANTITY]]*(1-InputData[[#This Row],[DISCOUNT %]])</f>
        <v>444</v>
      </c>
      <c r="N75" s="12">
        <f>DAY(InputData[[#This Row],[DATE]])</f>
        <v>27</v>
      </c>
      <c r="O75" s="12" t="str">
        <f>TEXT(InputData[[#This Row],[DATE]],"mmm")</f>
        <v>Mar</v>
      </c>
      <c r="P75" s="12">
        <f>YEAR(InputData[[#This Row],[DATE]])</f>
        <v>2021</v>
      </c>
      <c r="Q75" s="12"/>
    </row>
    <row r="76" spans="1:17" x14ac:dyDescent="0.3">
      <c r="A76" s="10">
        <v>44283</v>
      </c>
      <c r="B76" s="11" t="s">
        <v>20</v>
      </c>
      <c r="C76" s="12">
        <v>8</v>
      </c>
      <c r="D76" s="12" t="s">
        <v>106</v>
      </c>
      <c r="E76" s="12" t="s">
        <v>107</v>
      </c>
      <c r="F76" s="13">
        <v>0</v>
      </c>
      <c r="G76" s="12" t="str">
        <f>VLOOKUP(InputData[[#This Row],[PRODUCT ID]],MasterData[],2,0)</f>
        <v>Product07</v>
      </c>
      <c r="H76" s="12" t="str">
        <f>VLOOKUP(InputData[[#This Row],[PRODUCT ID]],MasterData[],3,0)</f>
        <v>Category01</v>
      </c>
      <c r="I76" s="12" t="str">
        <f>VLOOKUP(InputData[[#This Row],[PRODUCT ID]],MasterData[],4,0)</f>
        <v>Lt</v>
      </c>
      <c r="J76" s="14">
        <f>VLOOKUP(InputData[[#This Row],[PRODUCT ID]],MasterData[],5,0)</f>
        <v>43</v>
      </c>
      <c r="K76" s="14">
        <f>VLOOKUP(InputData[[#This Row],[PRODUCT ID]],MasterData[],5,0)</f>
        <v>43</v>
      </c>
      <c r="L76" s="14">
        <f>InputData[[#This Row],[BUYING PRIZE]]*InputData[[#This Row],[QUANTITY]]</f>
        <v>344</v>
      </c>
      <c r="M76" s="14">
        <f>InputData[[#This Row],[SELLING PRICE]]*InputData[[#This Row],[QUANTITY]]*(1-InputData[[#This Row],[DISCOUNT %]])</f>
        <v>344</v>
      </c>
      <c r="N76" s="12">
        <f>DAY(InputData[[#This Row],[DATE]])</f>
        <v>28</v>
      </c>
      <c r="O76" s="12" t="str">
        <f>TEXT(InputData[[#This Row],[DATE]],"mmm")</f>
        <v>Mar</v>
      </c>
      <c r="P76" s="12">
        <f>YEAR(InputData[[#This Row],[DATE]])</f>
        <v>2021</v>
      </c>
      <c r="Q76" s="12"/>
    </row>
    <row r="77" spans="1:17" x14ac:dyDescent="0.3">
      <c r="A77" s="10">
        <v>44285</v>
      </c>
      <c r="B77" s="11" t="s">
        <v>86</v>
      </c>
      <c r="C77" s="12">
        <v>1</v>
      </c>
      <c r="D77" s="12" t="s">
        <v>106</v>
      </c>
      <c r="E77" s="12" t="s">
        <v>107</v>
      </c>
      <c r="F77" s="13">
        <v>0</v>
      </c>
      <c r="G77" s="12" t="str">
        <f>VLOOKUP(InputData[[#This Row],[PRODUCT ID]],MasterData[],2,0)</f>
        <v>Product38</v>
      </c>
      <c r="H77" s="12" t="str">
        <f>VLOOKUP(InputData[[#This Row],[PRODUCT ID]],MasterData[],3,0)</f>
        <v>Category05</v>
      </c>
      <c r="I77" s="12" t="str">
        <f>VLOOKUP(InputData[[#This Row],[PRODUCT ID]],MasterData[],4,0)</f>
        <v>Kg</v>
      </c>
      <c r="J77" s="14">
        <f>VLOOKUP(InputData[[#This Row],[PRODUCT ID]],MasterData[],5,0)</f>
        <v>72</v>
      </c>
      <c r="K77" s="14">
        <f>VLOOKUP(InputData[[#This Row],[PRODUCT ID]],MasterData[],5,0)</f>
        <v>72</v>
      </c>
      <c r="L77" s="14">
        <f>InputData[[#This Row],[BUYING PRIZE]]*InputData[[#This Row],[QUANTITY]]</f>
        <v>72</v>
      </c>
      <c r="M77" s="14">
        <f>InputData[[#This Row],[SELLING PRICE]]*InputData[[#This Row],[QUANTITY]]*(1-InputData[[#This Row],[DISCOUNT %]])</f>
        <v>72</v>
      </c>
      <c r="N77" s="12">
        <f>DAY(InputData[[#This Row],[DATE]])</f>
        <v>30</v>
      </c>
      <c r="O77" s="12" t="str">
        <f>TEXT(InputData[[#This Row],[DATE]],"mmm")</f>
        <v>Mar</v>
      </c>
      <c r="P77" s="12">
        <f>YEAR(InputData[[#This Row],[DATE]])</f>
        <v>2021</v>
      </c>
      <c r="Q77" s="12"/>
    </row>
    <row r="78" spans="1:17" x14ac:dyDescent="0.3">
      <c r="A78" s="10">
        <v>44286</v>
      </c>
      <c r="B78" s="11" t="s">
        <v>94</v>
      </c>
      <c r="C78" s="12">
        <v>3</v>
      </c>
      <c r="D78" s="12" t="s">
        <v>108</v>
      </c>
      <c r="E78" s="12" t="s">
        <v>107</v>
      </c>
      <c r="F78" s="13">
        <v>0</v>
      </c>
      <c r="G78" s="12" t="str">
        <f>VLOOKUP(InputData[[#This Row],[PRODUCT ID]],MasterData[],2,0)</f>
        <v>Product42</v>
      </c>
      <c r="H78" s="12" t="str">
        <f>VLOOKUP(InputData[[#This Row],[PRODUCT ID]],MasterData[],3,0)</f>
        <v>Category05</v>
      </c>
      <c r="I78" s="12" t="str">
        <f>VLOOKUP(InputData[[#This Row],[PRODUCT ID]],MasterData[],4,0)</f>
        <v>Ft</v>
      </c>
      <c r="J78" s="14">
        <f>VLOOKUP(InputData[[#This Row],[PRODUCT ID]],MasterData[],5,0)</f>
        <v>120</v>
      </c>
      <c r="K78" s="14">
        <f>VLOOKUP(InputData[[#This Row],[PRODUCT ID]],MasterData[],5,0)</f>
        <v>120</v>
      </c>
      <c r="L78" s="14">
        <f>InputData[[#This Row],[BUYING PRIZE]]*InputData[[#This Row],[QUANTITY]]</f>
        <v>360</v>
      </c>
      <c r="M78" s="14">
        <f>InputData[[#This Row],[SELLING PRICE]]*InputData[[#This Row],[QUANTITY]]*(1-InputData[[#This Row],[DISCOUNT %]])</f>
        <v>360</v>
      </c>
      <c r="N78" s="12">
        <f>DAY(InputData[[#This Row],[DATE]])</f>
        <v>31</v>
      </c>
      <c r="O78" s="12" t="str">
        <f>TEXT(InputData[[#This Row],[DATE]],"mmm")</f>
        <v>Mar</v>
      </c>
      <c r="P78" s="12">
        <f>YEAR(InputData[[#This Row],[DATE]])</f>
        <v>2021</v>
      </c>
      <c r="Q78" s="12"/>
    </row>
    <row r="79" spans="1:17" x14ac:dyDescent="0.3">
      <c r="A79" s="10">
        <v>44290</v>
      </c>
      <c r="B79" s="11" t="s">
        <v>90</v>
      </c>
      <c r="C79" s="12">
        <v>4</v>
      </c>
      <c r="D79" s="12" t="s">
        <v>108</v>
      </c>
      <c r="E79" s="12" t="s">
        <v>107</v>
      </c>
      <c r="F79" s="13">
        <v>0</v>
      </c>
      <c r="G79" s="12" t="str">
        <f>VLOOKUP(InputData[[#This Row],[PRODUCT ID]],MasterData[],2,0)</f>
        <v>Product40</v>
      </c>
      <c r="H79" s="12" t="str">
        <f>VLOOKUP(InputData[[#This Row],[PRODUCT ID]],MasterData[],3,0)</f>
        <v>Category05</v>
      </c>
      <c r="I79" s="12" t="str">
        <f>VLOOKUP(InputData[[#This Row],[PRODUCT ID]],MasterData[],4,0)</f>
        <v>Kg</v>
      </c>
      <c r="J79" s="14">
        <f>VLOOKUP(InputData[[#This Row],[PRODUCT ID]],MasterData[],5,0)</f>
        <v>90</v>
      </c>
      <c r="K79" s="14">
        <f>VLOOKUP(InputData[[#This Row],[PRODUCT ID]],MasterData[],5,0)</f>
        <v>90</v>
      </c>
      <c r="L79" s="14">
        <f>InputData[[#This Row],[BUYING PRIZE]]*InputData[[#This Row],[QUANTITY]]</f>
        <v>360</v>
      </c>
      <c r="M79" s="14">
        <f>InputData[[#This Row],[SELLING PRICE]]*InputData[[#This Row],[QUANTITY]]*(1-InputData[[#This Row],[DISCOUNT %]])</f>
        <v>360</v>
      </c>
      <c r="N79" s="12">
        <f>DAY(InputData[[#This Row],[DATE]])</f>
        <v>4</v>
      </c>
      <c r="O79" s="12" t="str">
        <f>TEXT(InputData[[#This Row],[DATE]],"mmm")</f>
        <v>Apr</v>
      </c>
      <c r="P79" s="12">
        <f>YEAR(InputData[[#This Row],[DATE]])</f>
        <v>2021</v>
      </c>
      <c r="Q79" s="12"/>
    </row>
    <row r="80" spans="1:17" x14ac:dyDescent="0.3">
      <c r="A80" s="10">
        <v>44290</v>
      </c>
      <c r="B80" s="11" t="s">
        <v>24</v>
      </c>
      <c r="C80" s="12">
        <v>9</v>
      </c>
      <c r="D80" s="12" t="s">
        <v>106</v>
      </c>
      <c r="E80" s="12" t="s">
        <v>107</v>
      </c>
      <c r="F80" s="13">
        <v>0</v>
      </c>
      <c r="G80" s="12" t="str">
        <f>VLOOKUP(InputData[[#This Row],[PRODUCT ID]],MasterData[],2,0)</f>
        <v>Product09</v>
      </c>
      <c r="H80" s="12" t="str">
        <f>VLOOKUP(InputData[[#This Row],[PRODUCT ID]],MasterData[],3,0)</f>
        <v>Category01</v>
      </c>
      <c r="I80" s="12" t="str">
        <f>VLOOKUP(InputData[[#This Row],[PRODUCT ID]],MasterData[],4,0)</f>
        <v>No.</v>
      </c>
      <c r="J80" s="14">
        <f>VLOOKUP(InputData[[#This Row],[PRODUCT ID]],MasterData[],5,0)</f>
        <v>6</v>
      </c>
      <c r="K80" s="14">
        <f>VLOOKUP(InputData[[#This Row],[PRODUCT ID]],MasterData[],5,0)</f>
        <v>6</v>
      </c>
      <c r="L80" s="14">
        <f>InputData[[#This Row],[BUYING PRIZE]]*InputData[[#This Row],[QUANTITY]]</f>
        <v>54</v>
      </c>
      <c r="M80" s="14">
        <f>InputData[[#This Row],[SELLING PRICE]]*InputData[[#This Row],[QUANTITY]]*(1-InputData[[#This Row],[DISCOUNT %]])</f>
        <v>54</v>
      </c>
      <c r="N80" s="12">
        <f>DAY(InputData[[#This Row],[DATE]])</f>
        <v>4</v>
      </c>
      <c r="O80" s="12" t="str">
        <f>TEXT(InputData[[#This Row],[DATE]],"mmm")</f>
        <v>Apr</v>
      </c>
      <c r="P80" s="12">
        <f>YEAR(InputData[[#This Row],[DATE]])</f>
        <v>2021</v>
      </c>
      <c r="Q80" s="12"/>
    </row>
    <row r="81" spans="1:17" x14ac:dyDescent="0.3">
      <c r="A81" s="10">
        <v>44291</v>
      </c>
      <c r="B81" s="11" t="s">
        <v>71</v>
      </c>
      <c r="C81" s="12">
        <v>15</v>
      </c>
      <c r="D81" s="12" t="s">
        <v>106</v>
      </c>
      <c r="E81" s="12" t="s">
        <v>106</v>
      </c>
      <c r="F81" s="13">
        <v>0</v>
      </c>
      <c r="G81" s="12" t="str">
        <f>VLOOKUP(InputData[[#This Row],[PRODUCT ID]],MasterData[],2,0)</f>
        <v>Product31</v>
      </c>
      <c r="H81" s="12" t="str">
        <f>VLOOKUP(InputData[[#This Row],[PRODUCT ID]],MasterData[],3,0)</f>
        <v>Category04</v>
      </c>
      <c r="I81" s="12" t="str">
        <f>VLOOKUP(InputData[[#This Row],[PRODUCT ID]],MasterData[],4,0)</f>
        <v>Kg</v>
      </c>
      <c r="J81" s="14">
        <f>VLOOKUP(InputData[[#This Row],[PRODUCT ID]],MasterData[],5,0)</f>
        <v>93</v>
      </c>
      <c r="K81" s="14">
        <f>VLOOKUP(InputData[[#This Row],[PRODUCT ID]],MasterData[],5,0)</f>
        <v>93</v>
      </c>
      <c r="L81" s="14">
        <f>InputData[[#This Row],[BUYING PRIZE]]*InputData[[#This Row],[QUANTITY]]</f>
        <v>1395</v>
      </c>
      <c r="M81" s="14">
        <f>InputData[[#This Row],[SELLING PRICE]]*InputData[[#This Row],[QUANTITY]]*(1-InputData[[#This Row],[DISCOUNT %]])</f>
        <v>1395</v>
      </c>
      <c r="N81" s="12">
        <f>DAY(InputData[[#This Row],[DATE]])</f>
        <v>5</v>
      </c>
      <c r="O81" s="12" t="str">
        <f>TEXT(InputData[[#This Row],[DATE]],"mmm")</f>
        <v>Apr</v>
      </c>
      <c r="P81" s="12">
        <f>YEAR(InputData[[#This Row],[DATE]])</f>
        <v>2021</v>
      </c>
      <c r="Q81" s="12"/>
    </row>
    <row r="82" spans="1:17" x14ac:dyDescent="0.3">
      <c r="A82" s="10">
        <v>44295</v>
      </c>
      <c r="B82" s="11" t="s">
        <v>16</v>
      </c>
      <c r="C82" s="12">
        <v>3</v>
      </c>
      <c r="D82" s="12" t="s">
        <v>106</v>
      </c>
      <c r="E82" s="12" t="s">
        <v>106</v>
      </c>
      <c r="F82" s="13">
        <v>0</v>
      </c>
      <c r="G82" s="12" t="str">
        <f>VLOOKUP(InputData[[#This Row],[PRODUCT ID]],MasterData[],2,0)</f>
        <v>Product05</v>
      </c>
      <c r="H82" s="12" t="str">
        <f>VLOOKUP(InputData[[#This Row],[PRODUCT ID]],MasterData[],3,0)</f>
        <v>Category01</v>
      </c>
      <c r="I82" s="12" t="str">
        <f>VLOOKUP(InputData[[#This Row],[PRODUCT ID]],MasterData[],4,0)</f>
        <v>Ft</v>
      </c>
      <c r="J82" s="14">
        <f>VLOOKUP(InputData[[#This Row],[PRODUCT ID]],MasterData[],5,0)</f>
        <v>133</v>
      </c>
      <c r="K82" s="14">
        <f>VLOOKUP(InputData[[#This Row],[PRODUCT ID]],MasterData[],5,0)</f>
        <v>133</v>
      </c>
      <c r="L82" s="14">
        <f>InputData[[#This Row],[BUYING PRIZE]]*InputData[[#This Row],[QUANTITY]]</f>
        <v>399</v>
      </c>
      <c r="M82" s="14">
        <f>InputData[[#This Row],[SELLING PRICE]]*InputData[[#This Row],[QUANTITY]]*(1-InputData[[#This Row],[DISCOUNT %]])</f>
        <v>399</v>
      </c>
      <c r="N82" s="12">
        <f>DAY(InputData[[#This Row],[DATE]])</f>
        <v>9</v>
      </c>
      <c r="O82" s="12" t="str">
        <f>TEXT(InputData[[#This Row],[DATE]],"mmm")</f>
        <v>Apr</v>
      </c>
      <c r="P82" s="12">
        <f>YEAR(InputData[[#This Row],[DATE]])</f>
        <v>2021</v>
      </c>
      <c r="Q82" s="12"/>
    </row>
    <row r="83" spans="1:17" x14ac:dyDescent="0.3">
      <c r="A83" s="10">
        <v>44296</v>
      </c>
      <c r="B83" s="11" t="s">
        <v>52</v>
      </c>
      <c r="C83" s="12">
        <v>14</v>
      </c>
      <c r="D83" s="12" t="s">
        <v>108</v>
      </c>
      <c r="E83" s="12" t="s">
        <v>106</v>
      </c>
      <c r="F83" s="13">
        <v>0</v>
      </c>
      <c r="G83" s="12" t="str">
        <f>VLOOKUP(InputData[[#This Row],[PRODUCT ID]],MasterData[],2,0)</f>
        <v>Product22</v>
      </c>
      <c r="H83" s="12" t="str">
        <f>VLOOKUP(InputData[[#This Row],[PRODUCT ID]],MasterData[],3,0)</f>
        <v>Category03</v>
      </c>
      <c r="I83" s="12" t="str">
        <f>VLOOKUP(InputData[[#This Row],[PRODUCT ID]],MasterData[],4,0)</f>
        <v>Ft</v>
      </c>
      <c r="J83" s="14">
        <f>VLOOKUP(InputData[[#This Row],[PRODUCT ID]],MasterData[],5,0)</f>
        <v>121</v>
      </c>
      <c r="K83" s="14">
        <f>VLOOKUP(InputData[[#This Row],[PRODUCT ID]],MasterData[],5,0)</f>
        <v>121</v>
      </c>
      <c r="L83" s="14">
        <f>InputData[[#This Row],[BUYING PRIZE]]*InputData[[#This Row],[QUANTITY]]</f>
        <v>1694</v>
      </c>
      <c r="M83" s="14">
        <f>InputData[[#This Row],[SELLING PRICE]]*InputData[[#This Row],[QUANTITY]]*(1-InputData[[#This Row],[DISCOUNT %]])</f>
        <v>1694</v>
      </c>
      <c r="N83" s="12">
        <f>DAY(InputData[[#This Row],[DATE]])</f>
        <v>10</v>
      </c>
      <c r="O83" s="12" t="str">
        <f>TEXT(InputData[[#This Row],[DATE]],"mmm")</f>
        <v>Apr</v>
      </c>
      <c r="P83" s="12">
        <f>YEAR(InputData[[#This Row],[DATE]])</f>
        <v>2021</v>
      </c>
      <c r="Q83" s="12"/>
    </row>
    <row r="84" spans="1:17" x14ac:dyDescent="0.3">
      <c r="A84" s="10">
        <v>44298</v>
      </c>
      <c r="B84" s="11" t="s">
        <v>83</v>
      </c>
      <c r="C84" s="12">
        <v>3</v>
      </c>
      <c r="D84" s="12" t="s">
        <v>108</v>
      </c>
      <c r="E84" s="12" t="s">
        <v>107</v>
      </c>
      <c r="F84" s="13">
        <v>0</v>
      </c>
      <c r="G84" s="12" t="str">
        <f>VLOOKUP(InputData[[#This Row],[PRODUCT ID]],MasterData[],2,0)</f>
        <v>Product37</v>
      </c>
      <c r="H84" s="12" t="str">
        <f>VLOOKUP(InputData[[#This Row],[PRODUCT ID]],MasterData[],3,0)</f>
        <v>Category05</v>
      </c>
      <c r="I84" s="12" t="str">
        <f>VLOOKUP(InputData[[#This Row],[PRODUCT ID]],MasterData[],4,0)</f>
        <v>Kg</v>
      </c>
      <c r="J84" s="14">
        <f>VLOOKUP(InputData[[#This Row],[PRODUCT ID]],MasterData[],5,0)</f>
        <v>67</v>
      </c>
      <c r="K84" s="14">
        <f>VLOOKUP(InputData[[#This Row],[PRODUCT ID]],MasterData[],5,0)</f>
        <v>67</v>
      </c>
      <c r="L84" s="14">
        <f>InputData[[#This Row],[BUYING PRIZE]]*InputData[[#This Row],[QUANTITY]]</f>
        <v>201</v>
      </c>
      <c r="M84" s="14">
        <f>InputData[[#This Row],[SELLING PRICE]]*InputData[[#This Row],[QUANTITY]]*(1-InputData[[#This Row],[DISCOUNT %]])</f>
        <v>201</v>
      </c>
      <c r="N84" s="12">
        <f>DAY(InputData[[#This Row],[DATE]])</f>
        <v>12</v>
      </c>
      <c r="O84" s="12" t="str">
        <f>TEXT(InputData[[#This Row],[DATE]],"mmm")</f>
        <v>Apr</v>
      </c>
      <c r="P84" s="12">
        <f>YEAR(InputData[[#This Row],[DATE]])</f>
        <v>2021</v>
      </c>
      <c r="Q84" s="12"/>
    </row>
    <row r="85" spans="1:17" x14ac:dyDescent="0.3">
      <c r="A85" s="10">
        <v>44298</v>
      </c>
      <c r="B85" s="11" t="s">
        <v>67</v>
      </c>
      <c r="C85" s="12">
        <v>4</v>
      </c>
      <c r="D85" s="12" t="s">
        <v>108</v>
      </c>
      <c r="E85" s="12" t="s">
        <v>106</v>
      </c>
      <c r="F85" s="13">
        <v>0</v>
      </c>
      <c r="G85" s="12" t="str">
        <f>VLOOKUP(InputData[[#This Row],[PRODUCT ID]],MasterData[],2,0)</f>
        <v>Product29</v>
      </c>
      <c r="H85" s="12" t="str">
        <f>VLOOKUP(InputData[[#This Row],[PRODUCT ID]],MasterData[],3,0)</f>
        <v>Category04</v>
      </c>
      <c r="I85" s="12" t="str">
        <f>VLOOKUP(InputData[[#This Row],[PRODUCT ID]],MasterData[],4,0)</f>
        <v>Lt</v>
      </c>
      <c r="J85" s="14">
        <f>VLOOKUP(InputData[[#This Row],[PRODUCT ID]],MasterData[],5,0)</f>
        <v>47</v>
      </c>
      <c r="K85" s="14">
        <f>VLOOKUP(InputData[[#This Row],[PRODUCT ID]],MasterData[],5,0)</f>
        <v>47</v>
      </c>
      <c r="L85" s="14">
        <f>InputData[[#This Row],[BUYING PRIZE]]*InputData[[#This Row],[QUANTITY]]</f>
        <v>188</v>
      </c>
      <c r="M85" s="14">
        <f>InputData[[#This Row],[SELLING PRICE]]*InputData[[#This Row],[QUANTITY]]*(1-InputData[[#This Row],[DISCOUNT %]])</f>
        <v>188</v>
      </c>
      <c r="N85" s="12">
        <f>DAY(InputData[[#This Row],[DATE]])</f>
        <v>12</v>
      </c>
      <c r="O85" s="12" t="str">
        <f>TEXT(InputData[[#This Row],[DATE]],"mmm")</f>
        <v>Apr</v>
      </c>
      <c r="P85" s="12">
        <f>YEAR(InputData[[#This Row],[DATE]])</f>
        <v>2021</v>
      </c>
      <c r="Q85" s="12"/>
    </row>
    <row r="86" spans="1:17" x14ac:dyDescent="0.3">
      <c r="A86" s="10">
        <v>44298</v>
      </c>
      <c r="B86" s="11" t="s">
        <v>63</v>
      </c>
      <c r="C86" s="12">
        <v>9</v>
      </c>
      <c r="D86" s="12" t="s">
        <v>108</v>
      </c>
      <c r="E86" s="12" t="s">
        <v>106</v>
      </c>
      <c r="F86" s="13">
        <v>0</v>
      </c>
      <c r="G86" s="12" t="str">
        <f>VLOOKUP(InputData[[#This Row],[PRODUCT ID]],MasterData[],2,0)</f>
        <v>Product27</v>
      </c>
      <c r="H86" s="12" t="str">
        <f>VLOOKUP(InputData[[#This Row],[PRODUCT ID]],MasterData[],3,0)</f>
        <v>Category04</v>
      </c>
      <c r="I86" s="12" t="str">
        <f>VLOOKUP(InputData[[#This Row],[PRODUCT ID]],MasterData[],4,0)</f>
        <v>Lt</v>
      </c>
      <c r="J86" s="14">
        <f>VLOOKUP(InputData[[#This Row],[PRODUCT ID]],MasterData[],5,0)</f>
        <v>48</v>
      </c>
      <c r="K86" s="14">
        <f>VLOOKUP(InputData[[#This Row],[PRODUCT ID]],MasterData[],5,0)</f>
        <v>48</v>
      </c>
      <c r="L86" s="14">
        <f>InputData[[#This Row],[BUYING PRIZE]]*InputData[[#This Row],[QUANTITY]]</f>
        <v>432</v>
      </c>
      <c r="M86" s="14">
        <f>InputData[[#This Row],[SELLING PRICE]]*InputData[[#This Row],[QUANTITY]]*(1-InputData[[#This Row],[DISCOUNT %]])</f>
        <v>432</v>
      </c>
      <c r="N86" s="12">
        <f>DAY(InputData[[#This Row],[DATE]])</f>
        <v>12</v>
      </c>
      <c r="O86" s="12" t="str">
        <f>TEXT(InputData[[#This Row],[DATE]],"mmm")</f>
        <v>Apr</v>
      </c>
      <c r="P86" s="12">
        <f>YEAR(InputData[[#This Row],[DATE]])</f>
        <v>2021</v>
      </c>
      <c r="Q86" s="12"/>
    </row>
    <row r="87" spans="1:17" x14ac:dyDescent="0.3">
      <c r="A87" s="10">
        <v>44298</v>
      </c>
      <c r="B87" s="11" t="s">
        <v>75</v>
      </c>
      <c r="C87" s="12">
        <v>13</v>
      </c>
      <c r="D87" s="12" t="s">
        <v>108</v>
      </c>
      <c r="E87" s="12" t="s">
        <v>107</v>
      </c>
      <c r="F87" s="13">
        <v>0</v>
      </c>
      <c r="G87" s="12" t="str">
        <f>VLOOKUP(InputData[[#This Row],[PRODUCT ID]],MasterData[],2,0)</f>
        <v>Product33</v>
      </c>
      <c r="H87" s="12" t="str">
        <f>VLOOKUP(InputData[[#This Row],[PRODUCT ID]],MasterData[],3,0)</f>
        <v>Category04</v>
      </c>
      <c r="I87" s="12" t="str">
        <f>VLOOKUP(InputData[[#This Row],[PRODUCT ID]],MasterData[],4,0)</f>
        <v>Kg</v>
      </c>
      <c r="J87" s="14">
        <f>VLOOKUP(InputData[[#This Row],[PRODUCT ID]],MasterData[],5,0)</f>
        <v>95</v>
      </c>
      <c r="K87" s="14">
        <f>VLOOKUP(InputData[[#This Row],[PRODUCT ID]],MasterData[],5,0)</f>
        <v>95</v>
      </c>
      <c r="L87" s="14">
        <f>InputData[[#This Row],[BUYING PRIZE]]*InputData[[#This Row],[QUANTITY]]</f>
        <v>1235</v>
      </c>
      <c r="M87" s="14">
        <f>InputData[[#This Row],[SELLING PRICE]]*InputData[[#This Row],[QUANTITY]]*(1-InputData[[#This Row],[DISCOUNT %]])</f>
        <v>1235</v>
      </c>
      <c r="N87" s="12">
        <f>DAY(InputData[[#This Row],[DATE]])</f>
        <v>12</v>
      </c>
      <c r="O87" s="12" t="str">
        <f>TEXT(InputData[[#This Row],[DATE]],"mmm")</f>
        <v>Apr</v>
      </c>
      <c r="P87" s="12">
        <f>YEAR(InputData[[#This Row],[DATE]])</f>
        <v>2021</v>
      </c>
      <c r="Q87" s="12"/>
    </row>
    <row r="88" spans="1:17" x14ac:dyDescent="0.3">
      <c r="A88" s="10">
        <v>44301</v>
      </c>
      <c r="B88" s="11" t="s">
        <v>41</v>
      </c>
      <c r="C88" s="12">
        <v>3</v>
      </c>
      <c r="D88" s="12" t="s">
        <v>108</v>
      </c>
      <c r="E88" s="12" t="s">
        <v>106</v>
      </c>
      <c r="F88" s="13">
        <v>0</v>
      </c>
      <c r="G88" s="12" t="str">
        <f>VLOOKUP(InputData[[#This Row],[PRODUCT ID]],MasterData[],2,0)</f>
        <v>Product17</v>
      </c>
      <c r="H88" s="12" t="str">
        <f>VLOOKUP(InputData[[#This Row],[PRODUCT ID]],MasterData[],3,0)</f>
        <v>Category02</v>
      </c>
      <c r="I88" s="12" t="str">
        <f>VLOOKUP(InputData[[#This Row],[PRODUCT ID]],MasterData[],4,0)</f>
        <v>Ft</v>
      </c>
      <c r="J88" s="14">
        <f>VLOOKUP(InputData[[#This Row],[PRODUCT ID]],MasterData[],5,0)</f>
        <v>134</v>
      </c>
      <c r="K88" s="14">
        <f>VLOOKUP(InputData[[#This Row],[PRODUCT ID]],MasterData[],5,0)</f>
        <v>134</v>
      </c>
      <c r="L88" s="14">
        <f>InputData[[#This Row],[BUYING PRIZE]]*InputData[[#This Row],[QUANTITY]]</f>
        <v>402</v>
      </c>
      <c r="M88" s="14">
        <f>InputData[[#This Row],[SELLING PRICE]]*InputData[[#This Row],[QUANTITY]]*(1-InputData[[#This Row],[DISCOUNT %]])</f>
        <v>402</v>
      </c>
      <c r="N88" s="12">
        <f>DAY(InputData[[#This Row],[DATE]])</f>
        <v>15</v>
      </c>
      <c r="O88" s="12" t="str">
        <f>TEXT(InputData[[#This Row],[DATE]],"mmm")</f>
        <v>Apr</v>
      </c>
      <c r="P88" s="12">
        <f>YEAR(InputData[[#This Row],[DATE]])</f>
        <v>2021</v>
      </c>
      <c r="Q88" s="12"/>
    </row>
    <row r="89" spans="1:17" x14ac:dyDescent="0.3">
      <c r="A89" s="10">
        <v>44302</v>
      </c>
      <c r="B89" s="11" t="s">
        <v>43</v>
      </c>
      <c r="C89" s="12">
        <v>15</v>
      </c>
      <c r="D89" s="12" t="s">
        <v>108</v>
      </c>
      <c r="E89" s="12" t="s">
        <v>107</v>
      </c>
      <c r="F89" s="13">
        <v>0</v>
      </c>
      <c r="G89" s="12" t="str">
        <f>VLOOKUP(InputData[[#This Row],[PRODUCT ID]],MasterData[],2,0)</f>
        <v>Product18</v>
      </c>
      <c r="H89" s="12" t="str">
        <f>VLOOKUP(InputData[[#This Row],[PRODUCT ID]],MasterData[],3,0)</f>
        <v>Category02</v>
      </c>
      <c r="I89" s="12" t="str">
        <f>VLOOKUP(InputData[[#This Row],[PRODUCT ID]],MasterData[],4,0)</f>
        <v>No.</v>
      </c>
      <c r="J89" s="14">
        <f>VLOOKUP(InputData[[#This Row],[PRODUCT ID]],MasterData[],5,0)</f>
        <v>37</v>
      </c>
      <c r="K89" s="14">
        <f>VLOOKUP(InputData[[#This Row],[PRODUCT ID]],MasterData[],5,0)</f>
        <v>37</v>
      </c>
      <c r="L89" s="14">
        <f>InputData[[#This Row],[BUYING PRIZE]]*InputData[[#This Row],[QUANTITY]]</f>
        <v>555</v>
      </c>
      <c r="M89" s="14">
        <f>InputData[[#This Row],[SELLING PRICE]]*InputData[[#This Row],[QUANTITY]]*(1-InputData[[#This Row],[DISCOUNT %]])</f>
        <v>555</v>
      </c>
      <c r="N89" s="12">
        <f>DAY(InputData[[#This Row],[DATE]])</f>
        <v>16</v>
      </c>
      <c r="O89" s="12" t="str">
        <f>TEXT(InputData[[#This Row],[DATE]],"mmm")</f>
        <v>Apr</v>
      </c>
      <c r="P89" s="12">
        <f>YEAR(InputData[[#This Row],[DATE]])</f>
        <v>2021</v>
      </c>
      <c r="Q89" s="12"/>
    </row>
    <row r="90" spans="1:17" x14ac:dyDescent="0.3">
      <c r="A90" s="10">
        <v>44304</v>
      </c>
      <c r="B90" s="11" t="s">
        <v>86</v>
      </c>
      <c r="C90" s="12">
        <v>9</v>
      </c>
      <c r="D90" s="12" t="s">
        <v>105</v>
      </c>
      <c r="E90" s="12" t="s">
        <v>106</v>
      </c>
      <c r="F90" s="13">
        <v>0</v>
      </c>
      <c r="G90" s="12" t="str">
        <f>VLOOKUP(InputData[[#This Row],[PRODUCT ID]],MasterData[],2,0)</f>
        <v>Product38</v>
      </c>
      <c r="H90" s="12" t="str">
        <f>VLOOKUP(InputData[[#This Row],[PRODUCT ID]],MasterData[],3,0)</f>
        <v>Category05</v>
      </c>
      <c r="I90" s="12" t="str">
        <f>VLOOKUP(InputData[[#This Row],[PRODUCT ID]],MasterData[],4,0)</f>
        <v>Kg</v>
      </c>
      <c r="J90" s="14">
        <f>VLOOKUP(InputData[[#This Row],[PRODUCT ID]],MasterData[],5,0)</f>
        <v>72</v>
      </c>
      <c r="K90" s="14">
        <f>VLOOKUP(InputData[[#This Row],[PRODUCT ID]],MasterData[],5,0)</f>
        <v>72</v>
      </c>
      <c r="L90" s="14">
        <f>InputData[[#This Row],[BUYING PRIZE]]*InputData[[#This Row],[QUANTITY]]</f>
        <v>648</v>
      </c>
      <c r="M90" s="14">
        <f>InputData[[#This Row],[SELLING PRICE]]*InputData[[#This Row],[QUANTITY]]*(1-InputData[[#This Row],[DISCOUNT %]])</f>
        <v>648</v>
      </c>
      <c r="N90" s="12">
        <f>DAY(InputData[[#This Row],[DATE]])</f>
        <v>18</v>
      </c>
      <c r="O90" s="12" t="str">
        <f>TEXT(InputData[[#This Row],[DATE]],"mmm")</f>
        <v>Apr</v>
      </c>
      <c r="P90" s="12">
        <f>YEAR(InputData[[#This Row],[DATE]])</f>
        <v>2021</v>
      </c>
      <c r="Q90" s="12"/>
    </row>
    <row r="91" spans="1:17" x14ac:dyDescent="0.3">
      <c r="A91" s="10">
        <v>44304</v>
      </c>
      <c r="B91" s="11" t="s">
        <v>45</v>
      </c>
      <c r="C91" s="12">
        <v>13</v>
      </c>
      <c r="D91" s="12" t="s">
        <v>108</v>
      </c>
      <c r="E91" s="12" t="s">
        <v>107</v>
      </c>
      <c r="F91" s="13">
        <v>0</v>
      </c>
      <c r="G91" s="12" t="str">
        <f>VLOOKUP(InputData[[#This Row],[PRODUCT ID]],MasterData[],2,0)</f>
        <v>Product19</v>
      </c>
      <c r="H91" s="12" t="str">
        <f>VLOOKUP(InputData[[#This Row],[PRODUCT ID]],MasterData[],3,0)</f>
        <v>Category02</v>
      </c>
      <c r="I91" s="12" t="str">
        <f>VLOOKUP(InputData[[#This Row],[PRODUCT ID]],MasterData[],4,0)</f>
        <v>Ft</v>
      </c>
      <c r="J91" s="14">
        <f>VLOOKUP(InputData[[#This Row],[PRODUCT ID]],MasterData[],5,0)</f>
        <v>150</v>
      </c>
      <c r="K91" s="14">
        <f>VLOOKUP(InputData[[#This Row],[PRODUCT ID]],MasterData[],5,0)</f>
        <v>150</v>
      </c>
      <c r="L91" s="14">
        <f>InputData[[#This Row],[BUYING PRIZE]]*InputData[[#This Row],[QUANTITY]]</f>
        <v>1950</v>
      </c>
      <c r="M91" s="14">
        <f>InputData[[#This Row],[SELLING PRICE]]*InputData[[#This Row],[QUANTITY]]*(1-InputData[[#This Row],[DISCOUNT %]])</f>
        <v>1950</v>
      </c>
      <c r="N91" s="12">
        <f>DAY(InputData[[#This Row],[DATE]])</f>
        <v>18</v>
      </c>
      <c r="O91" s="12" t="str">
        <f>TEXT(InputData[[#This Row],[DATE]],"mmm")</f>
        <v>Apr</v>
      </c>
      <c r="P91" s="12">
        <f>YEAR(InputData[[#This Row],[DATE]])</f>
        <v>2021</v>
      </c>
      <c r="Q91" s="12"/>
    </row>
    <row r="92" spans="1:17" x14ac:dyDescent="0.3">
      <c r="A92" s="10">
        <v>44309</v>
      </c>
      <c r="B92" s="11" t="s">
        <v>94</v>
      </c>
      <c r="C92" s="12">
        <v>6</v>
      </c>
      <c r="D92" s="12" t="s">
        <v>108</v>
      </c>
      <c r="E92" s="12" t="s">
        <v>106</v>
      </c>
      <c r="F92" s="13">
        <v>0</v>
      </c>
      <c r="G92" s="12" t="str">
        <f>VLOOKUP(InputData[[#This Row],[PRODUCT ID]],MasterData[],2,0)</f>
        <v>Product42</v>
      </c>
      <c r="H92" s="12" t="str">
        <f>VLOOKUP(InputData[[#This Row],[PRODUCT ID]],MasterData[],3,0)</f>
        <v>Category05</v>
      </c>
      <c r="I92" s="12" t="str">
        <f>VLOOKUP(InputData[[#This Row],[PRODUCT ID]],MasterData[],4,0)</f>
        <v>Ft</v>
      </c>
      <c r="J92" s="14">
        <f>VLOOKUP(InputData[[#This Row],[PRODUCT ID]],MasterData[],5,0)</f>
        <v>120</v>
      </c>
      <c r="K92" s="14">
        <f>VLOOKUP(InputData[[#This Row],[PRODUCT ID]],MasterData[],5,0)</f>
        <v>120</v>
      </c>
      <c r="L92" s="14">
        <f>InputData[[#This Row],[BUYING PRIZE]]*InputData[[#This Row],[QUANTITY]]</f>
        <v>720</v>
      </c>
      <c r="M92" s="14">
        <f>InputData[[#This Row],[SELLING PRICE]]*InputData[[#This Row],[QUANTITY]]*(1-InputData[[#This Row],[DISCOUNT %]])</f>
        <v>720</v>
      </c>
      <c r="N92" s="12">
        <f>DAY(InputData[[#This Row],[DATE]])</f>
        <v>23</v>
      </c>
      <c r="O92" s="12" t="str">
        <f>TEXT(InputData[[#This Row],[DATE]],"mmm")</f>
        <v>Apr</v>
      </c>
      <c r="P92" s="12">
        <f>YEAR(InputData[[#This Row],[DATE]])</f>
        <v>2021</v>
      </c>
      <c r="Q92" s="12"/>
    </row>
    <row r="93" spans="1:17" x14ac:dyDescent="0.3">
      <c r="A93" s="10">
        <v>44309</v>
      </c>
      <c r="B93" s="11" t="s">
        <v>65</v>
      </c>
      <c r="C93" s="12">
        <v>10</v>
      </c>
      <c r="D93" s="12" t="s">
        <v>108</v>
      </c>
      <c r="E93" s="12" t="s">
        <v>106</v>
      </c>
      <c r="F93" s="13">
        <v>0</v>
      </c>
      <c r="G93" s="12" t="str">
        <f>VLOOKUP(InputData[[#This Row],[PRODUCT ID]],MasterData[],2,0)</f>
        <v>Product28</v>
      </c>
      <c r="H93" s="12" t="str">
        <f>VLOOKUP(InputData[[#This Row],[PRODUCT ID]],MasterData[],3,0)</f>
        <v>Category04</v>
      </c>
      <c r="I93" s="12" t="str">
        <f>VLOOKUP(InputData[[#This Row],[PRODUCT ID]],MasterData[],4,0)</f>
        <v>No.</v>
      </c>
      <c r="J93" s="14">
        <f>VLOOKUP(InputData[[#This Row],[PRODUCT ID]],MasterData[],5,0)</f>
        <v>37</v>
      </c>
      <c r="K93" s="14">
        <f>VLOOKUP(InputData[[#This Row],[PRODUCT ID]],MasterData[],5,0)</f>
        <v>37</v>
      </c>
      <c r="L93" s="14">
        <f>InputData[[#This Row],[BUYING PRIZE]]*InputData[[#This Row],[QUANTITY]]</f>
        <v>370</v>
      </c>
      <c r="M93" s="14">
        <f>InputData[[#This Row],[SELLING PRICE]]*InputData[[#This Row],[QUANTITY]]*(1-InputData[[#This Row],[DISCOUNT %]])</f>
        <v>370</v>
      </c>
      <c r="N93" s="12">
        <f>DAY(InputData[[#This Row],[DATE]])</f>
        <v>23</v>
      </c>
      <c r="O93" s="12" t="str">
        <f>TEXT(InputData[[#This Row],[DATE]],"mmm")</f>
        <v>Apr</v>
      </c>
      <c r="P93" s="12">
        <f>YEAR(InputData[[#This Row],[DATE]])</f>
        <v>2021</v>
      </c>
      <c r="Q93" s="12"/>
    </row>
    <row r="94" spans="1:17" x14ac:dyDescent="0.3">
      <c r="A94" s="10">
        <v>44310</v>
      </c>
      <c r="B94" s="11" t="s">
        <v>69</v>
      </c>
      <c r="C94" s="12">
        <v>2</v>
      </c>
      <c r="D94" s="12" t="s">
        <v>106</v>
      </c>
      <c r="E94" s="12" t="s">
        <v>106</v>
      </c>
      <c r="F94" s="13">
        <v>0</v>
      </c>
      <c r="G94" s="12" t="str">
        <f>VLOOKUP(InputData[[#This Row],[PRODUCT ID]],MasterData[],2,0)</f>
        <v>Product30</v>
      </c>
      <c r="H94" s="12" t="str">
        <f>VLOOKUP(InputData[[#This Row],[PRODUCT ID]],MasterData[],3,0)</f>
        <v>Category04</v>
      </c>
      <c r="I94" s="12" t="str">
        <f>VLOOKUP(InputData[[#This Row],[PRODUCT ID]],MasterData[],4,0)</f>
        <v>Ft</v>
      </c>
      <c r="J94" s="14">
        <f>VLOOKUP(InputData[[#This Row],[PRODUCT ID]],MasterData[],5,0)</f>
        <v>148</v>
      </c>
      <c r="K94" s="14">
        <f>VLOOKUP(InputData[[#This Row],[PRODUCT ID]],MasterData[],5,0)</f>
        <v>148</v>
      </c>
      <c r="L94" s="14">
        <f>InputData[[#This Row],[BUYING PRIZE]]*InputData[[#This Row],[QUANTITY]]</f>
        <v>296</v>
      </c>
      <c r="M94" s="14">
        <f>InputData[[#This Row],[SELLING PRICE]]*InputData[[#This Row],[QUANTITY]]*(1-InputData[[#This Row],[DISCOUNT %]])</f>
        <v>296</v>
      </c>
      <c r="N94" s="12">
        <f>DAY(InputData[[#This Row],[DATE]])</f>
        <v>24</v>
      </c>
      <c r="O94" s="12" t="str">
        <f>TEXT(InputData[[#This Row],[DATE]],"mmm")</f>
        <v>Apr</v>
      </c>
      <c r="P94" s="12">
        <f>YEAR(InputData[[#This Row],[DATE]])</f>
        <v>2021</v>
      </c>
      <c r="Q94" s="12"/>
    </row>
    <row r="95" spans="1:17" x14ac:dyDescent="0.3">
      <c r="A95" s="10">
        <v>44312</v>
      </c>
      <c r="B95" s="11" t="s">
        <v>83</v>
      </c>
      <c r="C95" s="12">
        <v>3</v>
      </c>
      <c r="D95" s="12" t="s">
        <v>108</v>
      </c>
      <c r="E95" s="12" t="s">
        <v>106</v>
      </c>
      <c r="F95" s="13">
        <v>0</v>
      </c>
      <c r="G95" s="12" t="str">
        <f>VLOOKUP(InputData[[#This Row],[PRODUCT ID]],MasterData[],2,0)</f>
        <v>Product37</v>
      </c>
      <c r="H95" s="12" t="str">
        <f>VLOOKUP(InputData[[#This Row],[PRODUCT ID]],MasterData[],3,0)</f>
        <v>Category05</v>
      </c>
      <c r="I95" s="12" t="str">
        <f>VLOOKUP(InputData[[#This Row],[PRODUCT ID]],MasterData[],4,0)</f>
        <v>Kg</v>
      </c>
      <c r="J95" s="14">
        <f>VLOOKUP(InputData[[#This Row],[PRODUCT ID]],MasterData[],5,0)</f>
        <v>67</v>
      </c>
      <c r="K95" s="14">
        <f>VLOOKUP(InputData[[#This Row],[PRODUCT ID]],MasterData[],5,0)</f>
        <v>67</v>
      </c>
      <c r="L95" s="14">
        <f>InputData[[#This Row],[BUYING PRIZE]]*InputData[[#This Row],[QUANTITY]]</f>
        <v>201</v>
      </c>
      <c r="M95" s="14">
        <f>InputData[[#This Row],[SELLING PRICE]]*InputData[[#This Row],[QUANTITY]]*(1-InputData[[#This Row],[DISCOUNT %]])</f>
        <v>201</v>
      </c>
      <c r="N95" s="12">
        <f>DAY(InputData[[#This Row],[DATE]])</f>
        <v>26</v>
      </c>
      <c r="O95" s="12" t="str">
        <f>TEXT(InputData[[#This Row],[DATE]],"mmm")</f>
        <v>Apr</v>
      </c>
      <c r="P95" s="12">
        <f>YEAR(InputData[[#This Row],[DATE]])</f>
        <v>2021</v>
      </c>
      <c r="Q95" s="12"/>
    </row>
    <row r="96" spans="1:17" x14ac:dyDescent="0.3">
      <c r="A96" s="10">
        <v>44315</v>
      </c>
      <c r="B96" s="11" t="s">
        <v>69</v>
      </c>
      <c r="C96" s="12">
        <v>7</v>
      </c>
      <c r="D96" s="12" t="s">
        <v>108</v>
      </c>
      <c r="E96" s="12" t="s">
        <v>106</v>
      </c>
      <c r="F96" s="13">
        <v>0</v>
      </c>
      <c r="G96" s="12" t="str">
        <f>VLOOKUP(InputData[[#This Row],[PRODUCT ID]],MasterData[],2,0)</f>
        <v>Product30</v>
      </c>
      <c r="H96" s="12" t="str">
        <f>VLOOKUP(InputData[[#This Row],[PRODUCT ID]],MasterData[],3,0)</f>
        <v>Category04</v>
      </c>
      <c r="I96" s="12" t="str">
        <f>VLOOKUP(InputData[[#This Row],[PRODUCT ID]],MasterData[],4,0)</f>
        <v>Ft</v>
      </c>
      <c r="J96" s="14">
        <f>VLOOKUP(InputData[[#This Row],[PRODUCT ID]],MasterData[],5,0)</f>
        <v>148</v>
      </c>
      <c r="K96" s="14">
        <f>VLOOKUP(InputData[[#This Row],[PRODUCT ID]],MasterData[],5,0)</f>
        <v>148</v>
      </c>
      <c r="L96" s="14">
        <f>InputData[[#This Row],[BUYING PRIZE]]*InputData[[#This Row],[QUANTITY]]</f>
        <v>1036</v>
      </c>
      <c r="M96" s="14">
        <f>InputData[[#This Row],[SELLING PRICE]]*InputData[[#This Row],[QUANTITY]]*(1-InputData[[#This Row],[DISCOUNT %]])</f>
        <v>1036</v>
      </c>
      <c r="N96" s="12">
        <f>DAY(InputData[[#This Row],[DATE]])</f>
        <v>29</v>
      </c>
      <c r="O96" s="12" t="str">
        <f>TEXT(InputData[[#This Row],[DATE]],"mmm")</f>
        <v>Apr</v>
      </c>
      <c r="P96" s="12">
        <f>YEAR(InputData[[#This Row],[DATE]])</f>
        <v>2021</v>
      </c>
      <c r="Q96" s="12"/>
    </row>
    <row r="97" spans="1:17" x14ac:dyDescent="0.3">
      <c r="A97" s="10">
        <v>44316</v>
      </c>
      <c r="B97" s="11" t="s">
        <v>67</v>
      </c>
      <c r="C97" s="12">
        <v>1</v>
      </c>
      <c r="D97" s="12" t="s">
        <v>108</v>
      </c>
      <c r="E97" s="12" t="s">
        <v>106</v>
      </c>
      <c r="F97" s="13">
        <v>0</v>
      </c>
      <c r="G97" s="12" t="str">
        <f>VLOOKUP(InputData[[#This Row],[PRODUCT ID]],MasterData[],2,0)</f>
        <v>Product29</v>
      </c>
      <c r="H97" s="12" t="str">
        <f>VLOOKUP(InputData[[#This Row],[PRODUCT ID]],MasterData[],3,0)</f>
        <v>Category04</v>
      </c>
      <c r="I97" s="12" t="str">
        <f>VLOOKUP(InputData[[#This Row],[PRODUCT ID]],MasterData[],4,0)</f>
        <v>Lt</v>
      </c>
      <c r="J97" s="14">
        <f>VLOOKUP(InputData[[#This Row],[PRODUCT ID]],MasterData[],5,0)</f>
        <v>47</v>
      </c>
      <c r="K97" s="14">
        <f>VLOOKUP(InputData[[#This Row],[PRODUCT ID]],MasterData[],5,0)</f>
        <v>47</v>
      </c>
      <c r="L97" s="14">
        <f>InputData[[#This Row],[BUYING PRIZE]]*InputData[[#This Row],[QUANTITY]]</f>
        <v>47</v>
      </c>
      <c r="M97" s="14">
        <f>InputData[[#This Row],[SELLING PRICE]]*InputData[[#This Row],[QUANTITY]]*(1-InputData[[#This Row],[DISCOUNT %]])</f>
        <v>47</v>
      </c>
      <c r="N97" s="12">
        <f>DAY(InputData[[#This Row],[DATE]])</f>
        <v>30</v>
      </c>
      <c r="O97" s="12" t="str">
        <f>TEXT(InputData[[#This Row],[DATE]],"mmm")</f>
        <v>Apr</v>
      </c>
      <c r="P97" s="12">
        <f>YEAR(InputData[[#This Row],[DATE]])</f>
        <v>2021</v>
      </c>
      <c r="Q97" s="12"/>
    </row>
    <row r="98" spans="1:17" x14ac:dyDescent="0.3">
      <c r="A98" s="10">
        <v>44317</v>
      </c>
      <c r="B98" s="11" t="s">
        <v>43</v>
      </c>
      <c r="C98" s="12">
        <v>3</v>
      </c>
      <c r="D98" s="12" t="s">
        <v>106</v>
      </c>
      <c r="E98" s="12" t="s">
        <v>107</v>
      </c>
      <c r="F98" s="13">
        <v>0</v>
      </c>
      <c r="G98" s="12" t="str">
        <f>VLOOKUP(InputData[[#This Row],[PRODUCT ID]],MasterData[],2,0)</f>
        <v>Product18</v>
      </c>
      <c r="H98" s="12" t="str">
        <f>VLOOKUP(InputData[[#This Row],[PRODUCT ID]],MasterData[],3,0)</f>
        <v>Category02</v>
      </c>
      <c r="I98" s="12" t="str">
        <f>VLOOKUP(InputData[[#This Row],[PRODUCT ID]],MasterData[],4,0)</f>
        <v>No.</v>
      </c>
      <c r="J98" s="14">
        <f>VLOOKUP(InputData[[#This Row],[PRODUCT ID]],MasterData[],5,0)</f>
        <v>37</v>
      </c>
      <c r="K98" s="14">
        <f>VLOOKUP(InputData[[#This Row],[PRODUCT ID]],MasterData[],5,0)</f>
        <v>37</v>
      </c>
      <c r="L98" s="14">
        <f>InputData[[#This Row],[BUYING PRIZE]]*InputData[[#This Row],[QUANTITY]]</f>
        <v>111</v>
      </c>
      <c r="M98" s="14">
        <f>InputData[[#This Row],[SELLING PRICE]]*InputData[[#This Row],[QUANTITY]]*(1-InputData[[#This Row],[DISCOUNT %]])</f>
        <v>111</v>
      </c>
      <c r="N98" s="12">
        <f>DAY(InputData[[#This Row],[DATE]])</f>
        <v>1</v>
      </c>
      <c r="O98" s="12" t="str">
        <f>TEXT(InputData[[#This Row],[DATE]],"mmm")</f>
        <v>May</v>
      </c>
      <c r="P98" s="12">
        <f>YEAR(InputData[[#This Row],[DATE]])</f>
        <v>2021</v>
      </c>
      <c r="Q98" s="12"/>
    </row>
    <row r="99" spans="1:17" x14ac:dyDescent="0.3">
      <c r="A99" s="10">
        <v>44317</v>
      </c>
      <c r="B99" s="11" t="s">
        <v>94</v>
      </c>
      <c r="C99" s="12">
        <v>1</v>
      </c>
      <c r="D99" s="12" t="s">
        <v>106</v>
      </c>
      <c r="E99" s="12" t="s">
        <v>107</v>
      </c>
      <c r="F99" s="13">
        <v>0</v>
      </c>
      <c r="G99" s="12" t="str">
        <f>VLOOKUP(InputData[[#This Row],[PRODUCT ID]],MasterData[],2,0)</f>
        <v>Product42</v>
      </c>
      <c r="H99" s="12" t="str">
        <f>VLOOKUP(InputData[[#This Row],[PRODUCT ID]],MasterData[],3,0)</f>
        <v>Category05</v>
      </c>
      <c r="I99" s="12" t="str">
        <f>VLOOKUP(InputData[[#This Row],[PRODUCT ID]],MasterData[],4,0)</f>
        <v>Ft</v>
      </c>
      <c r="J99" s="14">
        <f>VLOOKUP(InputData[[#This Row],[PRODUCT ID]],MasterData[],5,0)</f>
        <v>120</v>
      </c>
      <c r="K99" s="14">
        <f>VLOOKUP(InputData[[#This Row],[PRODUCT ID]],MasterData[],5,0)</f>
        <v>120</v>
      </c>
      <c r="L99" s="14">
        <f>InputData[[#This Row],[BUYING PRIZE]]*InputData[[#This Row],[QUANTITY]]</f>
        <v>120</v>
      </c>
      <c r="M99" s="14">
        <f>InputData[[#This Row],[SELLING PRICE]]*InputData[[#This Row],[QUANTITY]]*(1-InputData[[#This Row],[DISCOUNT %]])</f>
        <v>120</v>
      </c>
      <c r="N99" s="12">
        <f>DAY(InputData[[#This Row],[DATE]])</f>
        <v>1</v>
      </c>
      <c r="O99" s="12" t="str">
        <f>TEXT(InputData[[#This Row],[DATE]],"mmm")</f>
        <v>May</v>
      </c>
      <c r="P99" s="12">
        <f>YEAR(InputData[[#This Row],[DATE]])</f>
        <v>2021</v>
      </c>
      <c r="Q99" s="12"/>
    </row>
    <row r="100" spans="1:17" x14ac:dyDescent="0.3">
      <c r="A100" s="10">
        <v>44319</v>
      </c>
      <c r="B100" s="11" t="s">
        <v>77</v>
      </c>
      <c r="C100" s="12">
        <v>3</v>
      </c>
      <c r="D100" s="12" t="s">
        <v>106</v>
      </c>
      <c r="E100" s="12" t="s">
        <v>106</v>
      </c>
      <c r="F100" s="13">
        <v>0</v>
      </c>
      <c r="G100" s="12" t="str">
        <f>VLOOKUP(InputData[[#This Row],[PRODUCT ID]],MasterData[],2,0)</f>
        <v>Product34</v>
      </c>
      <c r="H100" s="12" t="str">
        <f>VLOOKUP(InputData[[#This Row],[PRODUCT ID]],MasterData[],3,0)</f>
        <v>Category04</v>
      </c>
      <c r="I100" s="12" t="str">
        <f>VLOOKUP(InputData[[#This Row],[PRODUCT ID]],MasterData[],4,0)</f>
        <v>Lt</v>
      </c>
      <c r="J100" s="14">
        <f>VLOOKUP(InputData[[#This Row],[PRODUCT ID]],MasterData[],5,0)</f>
        <v>55</v>
      </c>
      <c r="K100" s="14">
        <f>VLOOKUP(InputData[[#This Row],[PRODUCT ID]],MasterData[],5,0)</f>
        <v>55</v>
      </c>
      <c r="L100" s="14">
        <f>InputData[[#This Row],[BUYING PRIZE]]*InputData[[#This Row],[QUANTITY]]</f>
        <v>165</v>
      </c>
      <c r="M100" s="14">
        <f>InputData[[#This Row],[SELLING PRICE]]*InputData[[#This Row],[QUANTITY]]*(1-InputData[[#This Row],[DISCOUNT %]])</f>
        <v>165</v>
      </c>
      <c r="N100" s="12">
        <f>DAY(InputData[[#This Row],[DATE]])</f>
        <v>3</v>
      </c>
      <c r="O100" s="12" t="str">
        <f>TEXT(InputData[[#This Row],[DATE]],"mmm")</f>
        <v>May</v>
      </c>
      <c r="P100" s="12">
        <f>YEAR(InputData[[#This Row],[DATE]])</f>
        <v>2021</v>
      </c>
      <c r="Q100" s="12"/>
    </row>
    <row r="101" spans="1:17" x14ac:dyDescent="0.3">
      <c r="A101" s="10">
        <v>44320</v>
      </c>
      <c r="B101" s="11" t="s">
        <v>37</v>
      </c>
      <c r="C101" s="12">
        <v>13</v>
      </c>
      <c r="D101" s="12" t="s">
        <v>106</v>
      </c>
      <c r="E101" s="12" t="s">
        <v>106</v>
      </c>
      <c r="F101" s="13">
        <v>0</v>
      </c>
      <c r="G101" s="12" t="str">
        <f>VLOOKUP(InputData[[#This Row],[PRODUCT ID]],MasterData[],2,0)</f>
        <v>Product15</v>
      </c>
      <c r="H101" s="12" t="str">
        <f>VLOOKUP(InputData[[#This Row],[PRODUCT ID]],MasterData[],3,0)</f>
        <v>Category02</v>
      </c>
      <c r="I101" s="12" t="str">
        <f>VLOOKUP(InputData[[#This Row],[PRODUCT ID]],MasterData[],4,0)</f>
        <v>No.</v>
      </c>
      <c r="J101" s="14">
        <f>VLOOKUP(InputData[[#This Row],[PRODUCT ID]],MasterData[],5,0)</f>
        <v>12</v>
      </c>
      <c r="K101" s="14">
        <f>VLOOKUP(InputData[[#This Row],[PRODUCT ID]],MasterData[],5,0)</f>
        <v>12</v>
      </c>
      <c r="L101" s="14">
        <f>InputData[[#This Row],[BUYING PRIZE]]*InputData[[#This Row],[QUANTITY]]</f>
        <v>156</v>
      </c>
      <c r="M101" s="14">
        <f>InputData[[#This Row],[SELLING PRICE]]*InputData[[#This Row],[QUANTITY]]*(1-InputData[[#This Row],[DISCOUNT %]])</f>
        <v>156</v>
      </c>
      <c r="N101" s="12">
        <f>DAY(InputData[[#This Row],[DATE]])</f>
        <v>4</v>
      </c>
      <c r="O101" s="12" t="str">
        <f>TEXT(InputData[[#This Row],[DATE]],"mmm")</f>
        <v>May</v>
      </c>
      <c r="P101" s="12">
        <f>YEAR(InputData[[#This Row],[DATE]])</f>
        <v>2021</v>
      </c>
      <c r="Q101" s="12"/>
    </row>
    <row r="102" spans="1:17" x14ac:dyDescent="0.3">
      <c r="A102" s="10">
        <v>44320</v>
      </c>
      <c r="B102" s="11" t="s">
        <v>35</v>
      </c>
      <c r="C102" s="12">
        <v>4</v>
      </c>
      <c r="D102" s="12" t="s">
        <v>108</v>
      </c>
      <c r="E102" s="12" t="s">
        <v>107</v>
      </c>
      <c r="F102" s="13">
        <v>0</v>
      </c>
      <c r="G102" s="12" t="str">
        <f>VLOOKUP(InputData[[#This Row],[PRODUCT ID]],MasterData[],2,0)</f>
        <v>Product14</v>
      </c>
      <c r="H102" s="12" t="str">
        <f>VLOOKUP(InputData[[#This Row],[PRODUCT ID]],MasterData[],3,0)</f>
        <v>Category02</v>
      </c>
      <c r="I102" s="12" t="str">
        <f>VLOOKUP(InputData[[#This Row],[PRODUCT ID]],MasterData[],4,0)</f>
        <v>Kg</v>
      </c>
      <c r="J102" s="14">
        <f>VLOOKUP(InputData[[#This Row],[PRODUCT ID]],MasterData[],5,0)</f>
        <v>112</v>
      </c>
      <c r="K102" s="14">
        <f>VLOOKUP(InputData[[#This Row],[PRODUCT ID]],MasterData[],5,0)</f>
        <v>112</v>
      </c>
      <c r="L102" s="14">
        <f>InputData[[#This Row],[BUYING PRIZE]]*InputData[[#This Row],[QUANTITY]]</f>
        <v>448</v>
      </c>
      <c r="M102" s="14">
        <f>InputData[[#This Row],[SELLING PRICE]]*InputData[[#This Row],[QUANTITY]]*(1-InputData[[#This Row],[DISCOUNT %]])</f>
        <v>448</v>
      </c>
      <c r="N102" s="12">
        <f>DAY(InputData[[#This Row],[DATE]])</f>
        <v>4</v>
      </c>
      <c r="O102" s="12" t="str">
        <f>TEXT(InputData[[#This Row],[DATE]],"mmm")</f>
        <v>May</v>
      </c>
      <c r="P102" s="12">
        <f>YEAR(InputData[[#This Row],[DATE]])</f>
        <v>2021</v>
      </c>
      <c r="Q102" s="12"/>
    </row>
    <row r="103" spans="1:17" x14ac:dyDescent="0.3">
      <c r="A103" s="10">
        <v>44321</v>
      </c>
      <c r="B103" s="11" t="s">
        <v>24</v>
      </c>
      <c r="C103" s="12">
        <v>13</v>
      </c>
      <c r="D103" s="12" t="s">
        <v>108</v>
      </c>
      <c r="E103" s="12" t="s">
        <v>107</v>
      </c>
      <c r="F103" s="13">
        <v>0</v>
      </c>
      <c r="G103" s="12" t="str">
        <f>VLOOKUP(InputData[[#This Row],[PRODUCT ID]],MasterData[],2,0)</f>
        <v>Product09</v>
      </c>
      <c r="H103" s="12" t="str">
        <f>VLOOKUP(InputData[[#This Row],[PRODUCT ID]],MasterData[],3,0)</f>
        <v>Category01</v>
      </c>
      <c r="I103" s="12" t="str">
        <f>VLOOKUP(InputData[[#This Row],[PRODUCT ID]],MasterData[],4,0)</f>
        <v>No.</v>
      </c>
      <c r="J103" s="14">
        <f>VLOOKUP(InputData[[#This Row],[PRODUCT ID]],MasterData[],5,0)</f>
        <v>6</v>
      </c>
      <c r="K103" s="14">
        <f>VLOOKUP(InputData[[#This Row],[PRODUCT ID]],MasterData[],5,0)</f>
        <v>6</v>
      </c>
      <c r="L103" s="14">
        <f>InputData[[#This Row],[BUYING PRIZE]]*InputData[[#This Row],[QUANTITY]]</f>
        <v>78</v>
      </c>
      <c r="M103" s="14">
        <f>InputData[[#This Row],[SELLING PRICE]]*InputData[[#This Row],[QUANTITY]]*(1-InputData[[#This Row],[DISCOUNT %]])</f>
        <v>78</v>
      </c>
      <c r="N103" s="12">
        <f>DAY(InputData[[#This Row],[DATE]])</f>
        <v>5</v>
      </c>
      <c r="O103" s="12" t="str">
        <f>TEXT(InputData[[#This Row],[DATE]],"mmm")</f>
        <v>May</v>
      </c>
      <c r="P103" s="12">
        <f>YEAR(InputData[[#This Row],[DATE]])</f>
        <v>2021</v>
      </c>
      <c r="Q103" s="12"/>
    </row>
    <row r="104" spans="1:17" x14ac:dyDescent="0.3">
      <c r="A104" s="10">
        <v>44322</v>
      </c>
      <c r="B104" s="11" t="s">
        <v>22</v>
      </c>
      <c r="C104" s="12">
        <v>15</v>
      </c>
      <c r="D104" s="12" t="s">
        <v>108</v>
      </c>
      <c r="E104" s="12" t="s">
        <v>106</v>
      </c>
      <c r="F104" s="13">
        <v>0</v>
      </c>
      <c r="G104" s="12" t="str">
        <f>VLOOKUP(InputData[[#This Row],[PRODUCT ID]],MasterData[],2,0)</f>
        <v>Product08</v>
      </c>
      <c r="H104" s="12" t="str">
        <f>VLOOKUP(InputData[[#This Row],[PRODUCT ID]],MasterData[],3,0)</f>
        <v>Category01</v>
      </c>
      <c r="I104" s="12" t="str">
        <f>VLOOKUP(InputData[[#This Row],[PRODUCT ID]],MasterData[],4,0)</f>
        <v>Kg</v>
      </c>
      <c r="J104" s="14">
        <f>VLOOKUP(InputData[[#This Row],[PRODUCT ID]],MasterData[],5,0)</f>
        <v>83</v>
      </c>
      <c r="K104" s="14">
        <f>VLOOKUP(InputData[[#This Row],[PRODUCT ID]],MasterData[],5,0)</f>
        <v>83</v>
      </c>
      <c r="L104" s="14">
        <f>InputData[[#This Row],[BUYING PRIZE]]*InputData[[#This Row],[QUANTITY]]</f>
        <v>1245</v>
      </c>
      <c r="M104" s="14">
        <f>InputData[[#This Row],[SELLING PRICE]]*InputData[[#This Row],[QUANTITY]]*(1-InputData[[#This Row],[DISCOUNT %]])</f>
        <v>1245</v>
      </c>
      <c r="N104" s="12">
        <f>DAY(InputData[[#This Row],[DATE]])</f>
        <v>6</v>
      </c>
      <c r="O104" s="12" t="str">
        <f>TEXT(InputData[[#This Row],[DATE]],"mmm")</f>
        <v>May</v>
      </c>
      <c r="P104" s="12">
        <f>YEAR(InputData[[#This Row],[DATE]])</f>
        <v>2021</v>
      </c>
      <c r="Q104" s="12"/>
    </row>
    <row r="105" spans="1:17" x14ac:dyDescent="0.3">
      <c r="A105" s="10">
        <v>44322</v>
      </c>
      <c r="B105" s="11" t="s">
        <v>24</v>
      </c>
      <c r="C105" s="12">
        <v>6</v>
      </c>
      <c r="D105" s="12" t="s">
        <v>106</v>
      </c>
      <c r="E105" s="12" t="s">
        <v>106</v>
      </c>
      <c r="F105" s="13">
        <v>0</v>
      </c>
      <c r="G105" s="12" t="str">
        <f>VLOOKUP(InputData[[#This Row],[PRODUCT ID]],MasterData[],2,0)</f>
        <v>Product09</v>
      </c>
      <c r="H105" s="12" t="str">
        <f>VLOOKUP(InputData[[#This Row],[PRODUCT ID]],MasterData[],3,0)</f>
        <v>Category01</v>
      </c>
      <c r="I105" s="12" t="str">
        <f>VLOOKUP(InputData[[#This Row],[PRODUCT ID]],MasterData[],4,0)</f>
        <v>No.</v>
      </c>
      <c r="J105" s="14">
        <f>VLOOKUP(InputData[[#This Row],[PRODUCT ID]],MasterData[],5,0)</f>
        <v>6</v>
      </c>
      <c r="K105" s="14">
        <f>VLOOKUP(InputData[[#This Row],[PRODUCT ID]],MasterData[],5,0)</f>
        <v>6</v>
      </c>
      <c r="L105" s="14">
        <f>InputData[[#This Row],[BUYING PRIZE]]*InputData[[#This Row],[QUANTITY]]</f>
        <v>36</v>
      </c>
      <c r="M105" s="14">
        <f>InputData[[#This Row],[SELLING PRICE]]*InputData[[#This Row],[QUANTITY]]*(1-InputData[[#This Row],[DISCOUNT %]])</f>
        <v>36</v>
      </c>
      <c r="N105" s="12">
        <f>DAY(InputData[[#This Row],[DATE]])</f>
        <v>6</v>
      </c>
      <c r="O105" s="12" t="str">
        <f>TEXT(InputData[[#This Row],[DATE]],"mmm")</f>
        <v>May</v>
      </c>
      <c r="P105" s="12">
        <f>YEAR(InputData[[#This Row],[DATE]])</f>
        <v>2021</v>
      </c>
      <c r="Q105" s="12"/>
    </row>
    <row r="106" spans="1:17" x14ac:dyDescent="0.3">
      <c r="A106" s="10">
        <v>44323</v>
      </c>
      <c r="B106" s="11" t="s">
        <v>43</v>
      </c>
      <c r="C106" s="12">
        <v>1</v>
      </c>
      <c r="D106" s="12" t="s">
        <v>108</v>
      </c>
      <c r="E106" s="12" t="s">
        <v>107</v>
      </c>
      <c r="F106" s="13">
        <v>0</v>
      </c>
      <c r="G106" s="12" t="str">
        <f>VLOOKUP(InputData[[#This Row],[PRODUCT ID]],MasterData[],2,0)</f>
        <v>Product18</v>
      </c>
      <c r="H106" s="12" t="str">
        <f>VLOOKUP(InputData[[#This Row],[PRODUCT ID]],MasterData[],3,0)</f>
        <v>Category02</v>
      </c>
      <c r="I106" s="12" t="str">
        <f>VLOOKUP(InputData[[#This Row],[PRODUCT ID]],MasterData[],4,0)</f>
        <v>No.</v>
      </c>
      <c r="J106" s="14">
        <f>VLOOKUP(InputData[[#This Row],[PRODUCT ID]],MasterData[],5,0)</f>
        <v>37</v>
      </c>
      <c r="K106" s="14">
        <f>VLOOKUP(InputData[[#This Row],[PRODUCT ID]],MasterData[],5,0)</f>
        <v>37</v>
      </c>
      <c r="L106" s="14">
        <f>InputData[[#This Row],[BUYING PRIZE]]*InputData[[#This Row],[QUANTITY]]</f>
        <v>37</v>
      </c>
      <c r="M106" s="14">
        <f>InputData[[#This Row],[SELLING PRICE]]*InputData[[#This Row],[QUANTITY]]*(1-InputData[[#This Row],[DISCOUNT %]])</f>
        <v>37</v>
      </c>
      <c r="N106" s="12">
        <f>DAY(InputData[[#This Row],[DATE]])</f>
        <v>7</v>
      </c>
      <c r="O106" s="12" t="str">
        <f>TEXT(InputData[[#This Row],[DATE]],"mmm")</f>
        <v>May</v>
      </c>
      <c r="P106" s="12">
        <f>YEAR(InputData[[#This Row],[DATE]])</f>
        <v>2021</v>
      </c>
      <c r="Q106" s="12"/>
    </row>
    <row r="107" spans="1:17" x14ac:dyDescent="0.3">
      <c r="A107" s="10">
        <v>44325</v>
      </c>
      <c r="B107" s="11" t="s">
        <v>39</v>
      </c>
      <c r="C107" s="12">
        <v>6</v>
      </c>
      <c r="D107" s="12" t="s">
        <v>106</v>
      </c>
      <c r="E107" s="12" t="s">
        <v>106</v>
      </c>
      <c r="F107" s="13">
        <v>0</v>
      </c>
      <c r="G107" s="12" t="str">
        <f>VLOOKUP(InputData[[#This Row],[PRODUCT ID]],MasterData[],2,0)</f>
        <v>Product16</v>
      </c>
      <c r="H107" s="12" t="str">
        <f>VLOOKUP(InputData[[#This Row],[PRODUCT ID]],MasterData[],3,0)</f>
        <v>Category02</v>
      </c>
      <c r="I107" s="12" t="str">
        <f>VLOOKUP(InputData[[#This Row],[PRODUCT ID]],MasterData[],4,0)</f>
        <v>No.</v>
      </c>
      <c r="J107" s="14">
        <f>VLOOKUP(InputData[[#This Row],[PRODUCT ID]],MasterData[],5,0)</f>
        <v>13</v>
      </c>
      <c r="K107" s="14">
        <f>VLOOKUP(InputData[[#This Row],[PRODUCT ID]],MasterData[],5,0)</f>
        <v>13</v>
      </c>
      <c r="L107" s="14">
        <f>InputData[[#This Row],[BUYING PRIZE]]*InputData[[#This Row],[QUANTITY]]</f>
        <v>78</v>
      </c>
      <c r="M107" s="14">
        <f>InputData[[#This Row],[SELLING PRICE]]*InputData[[#This Row],[QUANTITY]]*(1-InputData[[#This Row],[DISCOUNT %]])</f>
        <v>78</v>
      </c>
      <c r="N107" s="12">
        <f>DAY(InputData[[#This Row],[DATE]])</f>
        <v>9</v>
      </c>
      <c r="O107" s="12" t="str">
        <f>TEXT(InputData[[#This Row],[DATE]],"mmm")</f>
        <v>May</v>
      </c>
      <c r="P107" s="12">
        <f>YEAR(InputData[[#This Row],[DATE]])</f>
        <v>2021</v>
      </c>
      <c r="Q107" s="12"/>
    </row>
    <row r="108" spans="1:17" x14ac:dyDescent="0.3">
      <c r="A108" s="10">
        <v>44325</v>
      </c>
      <c r="B108" s="11" t="s">
        <v>65</v>
      </c>
      <c r="C108" s="12">
        <v>8</v>
      </c>
      <c r="D108" s="12" t="s">
        <v>108</v>
      </c>
      <c r="E108" s="12" t="s">
        <v>107</v>
      </c>
      <c r="F108" s="13">
        <v>0</v>
      </c>
      <c r="G108" s="12" t="str">
        <f>VLOOKUP(InputData[[#This Row],[PRODUCT ID]],MasterData[],2,0)</f>
        <v>Product28</v>
      </c>
      <c r="H108" s="12" t="str">
        <f>VLOOKUP(InputData[[#This Row],[PRODUCT ID]],MasterData[],3,0)</f>
        <v>Category04</v>
      </c>
      <c r="I108" s="12" t="str">
        <f>VLOOKUP(InputData[[#This Row],[PRODUCT ID]],MasterData[],4,0)</f>
        <v>No.</v>
      </c>
      <c r="J108" s="14">
        <f>VLOOKUP(InputData[[#This Row],[PRODUCT ID]],MasterData[],5,0)</f>
        <v>37</v>
      </c>
      <c r="K108" s="14">
        <f>VLOOKUP(InputData[[#This Row],[PRODUCT ID]],MasterData[],5,0)</f>
        <v>37</v>
      </c>
      <c r="L108" s="14">
        <f>InputData[[#This Row],[BUYING PRIZE]]*InputData[[#This Row],[QUANTITY]]</f>
        <v>296</v>
      </c>
      <c r="M108" s="14">
        <f>InputData[[#This Row],[SELLING PRICE]]*InputData[[#This Row],[QUANTITY]]*(1-InputData[[#This Row],[DISCOUNT %]])</f>
        <v>296</v>
      </c>
      <c r="N108" s="12">
        <f>DAY(InputData[[#This Row],[DATE]])</f>
        <v>9</v>
      </c>
      <c r="O108" s="12" t="str">
        <f>TEXT(InputData[[#This Row],[DATE]],"mmm")</f>
        <v>May</v>
      </c>
      <c r="P108" s="12">
        <f>YEAR(InputData[[#This Row],[DATE]])</f>
        <v>2021</v>
      </c>
      <c r="Q108" s="12"/>
    </row>
    <row r="109" spans="1:17" x14ac:dyDescent="0.3">
      <c r="A109" s="10">
        <v>44328</v>
      </c>
      <c r="B109" s="11" t="s">
        <v>39</v>
      </c>
      <c r="C109" s="12">
        <v>3</v>
      </c>
      <c r="D109" s="12" t="s">
        <v>108</v>
      </c>
      <c r="E109" s="12" t="s">
        <v>106</v>
      </c>
      <c r="F109" s="13">
        <v>0</v>
      </c>
      <c r="G109" s="12" t="str">
        <f>VLOOKUP(InputData[[#This Row],[PRODUCT ID]],MasterData[],2,0)</f>
        <v>Product16</v>
      </c>
      <c r="H109" s="12" t="str">
        <f>VLOOKUP(InputData[[#This Row],[PRODUCT ID]],MasterData[],3,0)</f>
        <v>Category02</v>
      </c>
      <c r="I109" s="12" t="str">
        <f>VLOOKUP(InputData[[#This Row],[PRODUCT ID]],MasterData[],4,0)</f>
        <v>No.</v>
      </c>
      <c r="J109" s="14">
        <f>VLOOKUP(InputData[[#This Row],[PRODUCT ID]],MasterData[],5,0)</f>
        <v>13</v>
      </c>
      <c r="K109" s="14">
        <f>VLOOKUP(InputData[[#This Row],[PRODUCT ID]],MasterData[],5,0)</f>
        <v>13</v>
      </c>
      <c r="L109" s="14">
        <f>InputData[[#This Row],[BUYING PRIZE]]*InputData[[#This Row],[QUANTITY]]</f>
        <v>39</v>
      </c>
      <c r="M109" s="14">
        <f>InputData[[#This Row],[SELLING PRICE]]*InputData[[#This Row],[QUANTITY]]*(1-InputData[[#This Row],[DISCOUNT %]])</f>
        <v>39</v>
      </c>
      <c r="N109" s="12">
        <f>DAY(InputData[[#This Row],[DATE]])</f>
        <v>12</v>
      </c>
      <c r="O109" s="12" t="str">
        <f>TEXT(InputData[[#This Row],[DATE]],"mmm")</f>
        <v>May</v>
      </c>
      <c r="P109" s="12">
        <f>YEAR(InputData[[#This Row],[DATE]])</f>
        <v>2021</v>
      </c>
      <c r="Q109" s="12"/>
    </row>
    <row r="110" spans="1:17" x14ac:dyDescent="0.3">
      <c r="A110" s="10">
        <v>44328</v>
      </c>
      <c r="B110" s="11" t="s">
        <v>79</v>
      </c>
      <c r="C110" s="12">
        <v>15</v>
      </c>
      <c r="D110" s="12" t="s">
        <v>108</v>
      </c>
      <c r="E110" s="12" t="s">
        <v>106</v>
      </c>
      <c r="F110" s="13">
        <v>0</v>
      </c>
      <c r="G110" s="12" t="str">
        <f>VLOOKUP(InputData[[#This Row],[PRODUCT ID]],MasterData[],2,0)</f>
        <v>Product35</v>
      </c>
      <c r="H110" s="12" t="str">
        <f>VLOOKUP(InputData[[#This Row],[PRODUCT ID]],MasterData[],3,0)</f>
        <v>Category04</v>
      </c>
      <c r="I110" s="12" t="str">
        <f>VLOOKUP(InputData[[#This Row],[PRODUCT ID]],MasterData[],4,0)</f>
        <v>No.</v>
      </c>
      <c r="J110" s="14">
        <f>VLOOKUP(InputData[[#This Row],[PRODUCT ID]],MasterData[],5,0)</f>
        <v>5</v>
      </c>
      <c r="K110" s="14">
        <f>VLOOKUP(InputData[[#This Row],[PRODUCT ID]],MasterData[],5,0)</f>
        <v>5</v>
      </c>
      <c r="L110" s="14">
        <f>InputData[[#This Row],[BUYING PRIZE]]*InputData[[#This Row],[QUANTITY]]</f>
        <v>75</v>
      </c>
      <c r="M110" s="14">
        <f>InputData[[#This Row],[SELLING PRICE]]*InputData[[#This Row],[QUANTITY]]*(1-InputData[[#This Row],[DISCOUNT %]])</f>
        <v>75</v>
      </c>
      <c r="N110" s="12">
        <f>DAY(InputData[[#This Row],[DATE]])</f>
        <v>12</v>
      </c>
      <c r="O110" s="12" t="str">
        <f>TEXT(InputData[[#This Row],[DATE]],"mmm")</f>
        <v>May</v>
      </c>
      <c r="P110" s="12">
        <f>YEAR(InputData[[#This Row],[DATE]])</f>
        <v>2021</v>
      </c>
      <c r="Q110" s="12"/>
    </row>
    <row r="111" spans="1:17" x14ac:dyDescent="0.3">
      <c r="A111" s="10">
        <v>44329</v>
      </c>
      <c r="B111" s="11" t="s">
        <v>67</v>
      </c>
      <c r="C111" s="12">
        <v>4</v>
      </c>
      <c r="D111" s="12" t="s">
        <v>108</v>
      </c>
      <c r="E111" s="12" t="s">
        <v>106</v>
      </c>
      <c r="F111" s="13">
        <v>0</v>
      </c>
      <c r="G111" s="12" t="str">
        <f>VLOOKUP(InputData[[#This Row],[PRODUCT ID]],MasterData[],2,0)</f>
        <v>Product29</v>
      </c>
      <c r="H111" s="12" t="str">
        <f>VLOOKUP(InputData[[#This Row],[PRODUCT ID]],MasterData[],3,0)</f>
        <v>Category04</v>
      </c>
      <c r="I111" s="12" t="str">
        <f>VLOOKUP(InputData[[#This Row],[PRODUCT ID]],MasterData[],4,0)</f>
        <v>Lt</v>
      </c>
      <c r="J111" s="14">
        <f>VLOOKUP(InputData[[#This Row],[PRODUCT ID]],MasterData[],5,0)</f>
        <v>47</v>
      </c>
      <c r="K111" s="14">
        <f>VLOOKUP(InputData[[#This Row],[PRODUCT ID]],MasterData[],5,0)</f>
        <v>47</v>
      </c>
      <c r="L111" s="14">
        <f>InputData[[#This Row],[BUYING PRIZE]]*InputData[[#This Row],[QUANTITY]]</f>
        <v>188</v>
      </c>
      <c r="M111" s="14">
        <f>InputData[[#This Row],[SELLING PRICE]]*InputData[[#This Row],[QUANTITY]]*(1-InputData[[#This Row],[DISCOUNT %]])</f>
        <v>188</v>
      </c>
      <c r="N111" s="12">
        <f>DAY(InputData[[#This Row],[DATE]])</f>
        <v>13</v>
      </c>
      <c r="O111" s="12" t="str">
        <f>TEXT(InputData[[#This Row],[DATE]],"mmm")</f>
        <v>May</v>
      </c>
      <c r="P111" s="12">
        <f>YEAR(InputData[[#This Row],[DATE]])</f>
        <v>2021</v>
      </c>
      <c r="Q111" s="12"/>
    </row>
    <row r="112" spans="1:17" x14ac:dyDescent="0.3">
      <c r="A112" s="10">
        <v>44336</v>
      </c>
      <c r="B112" s="11" t="s">
        <v>94</v>
      </c>
      <c r="C112" s="12">
        <v>2</v>
      </c>
      <c r="D112" s="12" t="s">
        <v>106</v>
      </c>
      <c r="E112" s="12" t="s">
        <v>107</v>
      </c>
      <c r="F112" s="13">
        <v>0</v>
      </c>
      <c r="G112" s="12" t="str">
        <f>VLOOKUP(InputData[[#This Row],[PRODUCT ID]],MasterData[],2,0)</f>
        <v>Product42</v>
      </c>
      <c r="H112" s="12" t="str">
        <f>VLOOKUP(InputData[[#This Row],[PRODUCT ID]],MasterData[],3,0)</f>
        <v>Category05</v>
      </c>
      <c r="I112" s="12" t="str">
        <f>VLOOKUP(InputData[[#This Row],[PRODUCT ID]],MasterData[],4,0)</f>
        <v>Ft</v>
      </c>
      <c r="J112" s="14">
        <f>VLOOKUP(InputData[[#This Row],[PRODUCT ID]],MasterData[],5,0)</f>
        <v>120</v>
      </c>
      <c r="K112" s="14">
        <f>VLOOKUP(InputData[[#This Row],[PRODUCT ID]],MasterData[],5,0)</f>
        <v>120</v>
      </c>
      <c r="L112" s="14">
        <f>InputData[[#This Row],[BUYING PRIZE]]*InputData[[#This Row],[QUANTITY]]</f>
        <v>240</v>
      </c>
      <c r="M112" s="14">
        <f>InputData[[#This Row],[SELLING PRICE]]*InputData[[#This Row],[QUANTITY]]*(1-InputData[[#This Row],[DISCOUNT %]])</f>
        <v>240</v>
      </c>
      <c r="N112" s="12">
        <f>DAY(InputData[[#This Row],[DATE]])</f>
        <v>20</v>
      </c>
      <c r="O112" s="12" t="str">
        <f>TEXT(InputData[[#This Row],[DATE]],"mmm")</f>
        <v>May</v>
      </c>
      <c r="P112" s="12">
        <f>YEAR(InputData[[#This Row],[DATE]])</f>
        <v>2021</v>
      </c>
      <c r="Q112" s="12"/>
    </row>
    <row r="113" spans="1:17" x14ac:dyDescent="0.3">
      <c r="A113" s="10">
        <v>44339</v>
      </c>
      <c r="B113" s="11" t="s">
        <v>90</v>
      </c>
      <c r="C113" s="12">
        <v>11</v>
      </c>
      <c r="D113" s="12" t="s">
        <v>108</v>
      </c>
      <c r="E113" s="12" t="s">
        <v>106</v>
      </c>
      <c r="F113" s="13">
        <v>0</v>
      </c>
      <c r="G113" s="12" t="str">
        <f>VLOOKUP(InputData[[#This Row],[PRODUCT ID]],MasterData[],2,0)</f>
        <v>Product40</v>
      </c>
      <c r="H113" s="12" t="str">
        <f>VLOOKUP(InputData[[#This Row],[PRODUCT ID]],MasterData[],3,0)</f>
        <v>Category05</v>
      </c>
      <c r="I113" s="12" t="str">
        <f>VLOOKUP(InputData[[#This Row],[PRODUCT ID]],MasterData[],4,0)</f>
        <v>Kg</v>
      </c>
      <c r="J113" s="14">
        <f>VLOOKUP(InputData[[#This Row],[PRODUCT ID]],MasterData[],5,0)</f>
        <v>90</v>
      </c>
      <c r="K113" s="14">
        <f>VLOOKUP(InputData[[#This Row],[PRODUCT ID]],MasterData[],5,0)</f>
        <v>90</v>
      </c>
      <c r="L113" s="14">
        <f>InputData[[#This Row],[BUYING PRIZE]]*InputData[[#This Row],[QUANTITY]]</f>
        <v>990</v>
      </c>
      <c r="M113" s="14">
        <f>InputData[[#This Row],[SELLING PRICE]]*InputData[[#This Row],[QUANTITY]]*(1-InputData[[#This Row],[DISCOUNT %]])</f>
        <v>990</v>
      </c>
      <c r="N113" s="12">
        <f>DAY(InputData[[#This Row],[DATE]])</f>
        <v>23</v>
      </c>
      <c r="O113" s="12" t="str">
        <f>TEXT(InputData[[#This Row],[DATE]],"mmm")</f>
        <v>May</v>
      </c>
      <c r="P113" s="12">
        <f>YEAR(InputData[[#This Row],[DATE]])</f>
        <v>2021</v>
      </c>
      <c r="Q113" s="12"/>
    </row>
    <row r="114" spans="1:17" x14ac:dyDescent="0.3">
      <c r="A114" s="10">
        <v>44346</v>
      </c>
      <c r="B114" s="11" t="s">
        <v>54</v>
      </c>
      <c r="C114" s="12">
        <v>13</v>
      </c>
      <c r="D114" s="12" t="s">
        <v>106</v>
      </c>
      <c r="E114" s="12" t="s">
        <v>106</v>
      </c>
      <c r="F114" s="13">
        <v>0</v>
      </c>
      <c r="G114" s="12" t="str">
        <f>VLOOKUP(InputData[[#This Row],[PRODUCT ID]],MasterData[],2,0)</f>
        <v>Product23</v>
      </c>
      <c r="H114" s="12" t="str">
        <f>VLOOKUP(InputData[[#This Row],[PRODUCT ID]],MasterData[],3,0)</f>
        <v>Category03</v>
      </c>
      <c r="I114" s="12" t="str">
        <f>VLOOKUP(InputData[[#This Row],[PRODUCT ID]],MasterData[],4,0)</f>
        <v>Ft</v>
      </c>
      <c r="J114" s="14">
        <f>VLOOKUP(InputData[[#This Row],[PRODUCT ID]],MasterData[],5,0)</f>
        <v>141</v>
      </c>
      <c r="K114" s="14">
        <f>VLOOKUP(InputData[[#This Row],[PRODUCT ID]],MasterData[],5,0)</f>
        <v>141</v>
      </c>
      <c r="L114" s="14">
        <f>InputData[[#This Row],[BUYING PRIZE]]*InputData[[#This Row],[QUANTITY]]</f>
        <v>1833</v>
      </c>
      <c r="M114" s="14">
        <f>InputData[[#This Row],[SELLING PRICE]]*InputData[[#This Row],[QUANTITY]]*(1-InputData[[#This Row],[DISCOUNT %]])</f>
        <v>1833</v>
      </c>
      <c r="N114" s="12">
        <f>DAY(InputData[[#This Row],[DATE]])</f>
        <v>30</v>
      </c>
      <c r="O114" s="12" t="str">
        <f>TEXT(InputData[[#This Row],[DATE]],"mmm")</f>
        <v>May</v>
      </c>
      <c r="P114" s="12">
        <f>YEAR(InputData[[#This Row],[DATE]])</f>
        <v>2021</v>
      </c>
      <c r="Q114" s="12"/>
    </row>
    <row r="115" spans="1:17" x14ac:dyDescent="0.3">
      <c r="A115" s="10">
        <v>44346</v>
      </c>
      <c r="B115" s="11" t="s">
        <v>33</v>
      </c>
      <c r="C115" s="12">
        <v>6</v>
      </c>
      <c r="D115" s="12" t="s">
        <v>106</v>
      </c>
      <c r="E115" s="12" t="s">
        <v>107</v>
      </c>
      <c r="F115" s="13">
        <v>0</v>
      </c>
      <c r="G115" s="12" t="str">
        <f>VLOOKUP(InputData[[#This Row],[PRODUCT ID]],MasterData[],2,0)</f>
        <v>Product13</v>
      </c>
      <c r="H115" s="12" t="str">
        <f>VLOOKUP(InputData[[#This Row],[PRODUCT ID]],MasterData[],3,0)</f>
        <v>Category02</v>
      </c>
      <c r="I115" s="12" t="str">
        <f>VLOOKUP(InputData[[#This Row],[PRODUCT ID]],MasterData[],4,0)</f>
        <v>Kg</v>
      </c>
      <c r="J115" s="14">
        <f>VLOOKUP(InputData[[#This Row],[PRODUCT ID]],MasterData[],5,0)</f>
        <v>112</v>
      </c>
      <c r="K115" s="14">
        <f>VLOOKUP(InputData[[#This Row],[PRODUCT ID]],MasterData[],5,0)</f>
        <v>112</v>
      </c>
      <c r="L115" s="14">
        <f>InputData[[#This Row],[BUYING PRIZE]]*InputData[[#This Row],[QUANTITY]]</f>
        <v>672</v>
      </c>
      <c r="M115" s="14">
        <f>InputData[[#This Row],[SELLING PRICE]]*InputData[[#This Row],[QUANTITY]]*(1-InputData[[#This Row],[DISCOUNT %]])</f>
        <v>672</v>
      </c>
      <c r="N115" s="12">
        <f>DAY(InputData[[#This Row],[DATE]])</f>
        <v>30</v>
      </c>
      <c r="O115" s="12" t="str">
        <f>TEXT(InputData[[#This Row],[DATE]],"mmm")</f>
        <v>May</v>
      </c>
      <c r="P115" s="12">
        <f>YEAR(InputData[[#This Row],[DATE]])</f>
        <v>2021</v>
      </c>
      <c r="Q115" s="12"/>
    </row>
    <row r="116" spans="1:17" x14ac:dyDescent="0.3">
      <c r="A116" s="10">
        <v>44350</v>
      </c>
      <c r="B116" s="11" t="s">
        <v>50</v>
      </c>
      <c r="C116" s="12">
        <v>10</v>
      </c>
      <c r="D116" s="12" t="s">
        <v>108</v>
      </c>
      <c r="E116" s="12" t="s">
        <v>107</v>
      </c>
      <c r="F116" s="13">
        <v>0</v>
      </c>
      <c r="G116" s="12" t="str">
        <f>VLOOKUP(InputData[[#This Row],[PRODUCT ID]],MasterData[],2,0)</f>
        <v>Product21</v>
      </c>
      <c r="H116" s="12" t="str">
        <f>VLOOKUP(InputData[[#This Row],[PRODUCT ID]],MasterData[],3,0)</f>
        <v>Category03</v>
      </c>
      <c r="I116" s="12" t="str">
        <f>VLOOKUP(InputData[[#This Row],[PRODUCT ID]],MasterData[],4,0)</f>
        <v>Ft</v>
      </c>
      <c r="J116" s="14">
        <f>VLOOKUP(InputData[[#This Row],[PRODUCT ID]],MasterData[],5,0)</f>
        <v>126</v>
      </c>
      <c r="K116" s="14">
        <f>VLOOKUP(InputData[[#This Row],[PRODUCT ID]],MasterData[],5,0)</f>
        <v>126</v>
      </c>
      <c r="L116" s="14">
        <f>InputData[[#This Row],[BUYING PRIZE]]*InputData[[#This Row],[QUANTITY]]</f>
        <v>1260</v>
      </c>
      <c r="M116" s="14">
        <f>InputData[[#This Row],[SELLING PRICE]]*InputData[[#This Row],[QUANTITY]]*(1-InputData[[#This Row],[DISCOUNT %]])</f>
        <v>1260</v>
      </c>
      <c r="N116" s="12">
        <f>DAY(InputData[[#This Row],[DATE]])</f>
        <v>3</v>
      </c>
      <c r="O116" s="12" t="str">
        <f>TEXT(InputData[[#This Row],[DATE]],"mmm")</f>
        <v>Jun</v>
      </c>
      <c r="P116" s="12">
        <f>YEAR(InputData[[#This Row],[DATE]])</f>
        <v>2021</v>
      </c>
      <c r="Q116" s="12"/>
    </row>
    <row r="117" spans="1:17" x14ac:dyDescent="0.3">
      <c r="A117" s="10">
        <v>44351</v>
      </c>
      <c r="B117" s="11" t="s">
        <v>47</v>
      </c>
      <c r="C117" s="12">
        <v>8</v>
      </c>
      <c r="D117" s="12" t="s">
        <v>105</v>
      </c>
      <c r="E117" s="12" t="s">
        <v>106</v>
      </c>
      <c r="F117" s="13">
        <v>0</v>
      </c>
      <c r="G117" s="12" t="str">
        <f>VLOOKUP(InputData[[#This Row],[PRODUCT ID]],MasterData[],2,0)</f>
        <v>Product20</v>
      </c>
      <c r="H117" s="12" t="str">
        <f>VLOOKUP(InputData[[#This Row],[PRODUCT ID]],MasterData[],3,0)</f>
        <v>Category03</v>
      </c>
      <c r="I117" s="12" t="str">
        <f>VLOOKUP(InputData[[#This Row],[PRODUCT ID]],MasterData[],4,0)</f>
        <v>Lt</v>
      </c>
      <c r="J117" s="14">
        <f>VLOOKUP(InputData[[#This Row],[PRODUCT ID]],MasterData[],5,0)</f>
        <v>61</v>
      </c>
      <c r="K117" s="14">
        <f>VLOOKUP(InputData[[#This Row],[PRODUCT ID]],MasterData[],5,0)</f>
        <v>61</v>
      </c>
      <c r="L117" s="14">
        <f>InputData[[#This Row],[BUYING PRIZE]]*InputData[[#This Row],[QUANTITY]]</f>
        <v>488</v>
      </c>
      <c r="M117" s="14">
        <f>InputData[[#This Row],[SELLING PRICE]]*InputData[[#This Row],[QUANTITY]]*(1-InputData[[#This Row],[DISCOUNT %]])</f>
        <v>488</v>
      </c>
      <c r="N117" s="12">
        <f>DAY(InputData[[#This Row],[DATE]])</f>
        <v>4</v>
      </c>
      <c r="O117" s="12" t="str">
        <f>TEXT(InputData[[#This Row],[DATE]],"mmm")</f>
        <v>Jun</v>
      </c>
      <c r="P117" s="12">
        <f>YEAR(InputData[[#This Row],[DATE]])</f>
        <v>2021</v>
      </c>
      <c r="Q117" s="12"/>
    </row>
    <row r="118" spans="1:17" x14ac:dyDescent="0.3">
      <c r="A118" s="10">
        <v>44351</v>
      </c>
      <c r="B118" s="11" t="s">
        <v>47</v>
      </c>
      <c r="C118" s="12">
        <v>12</v>
      </c>
      <c r="D118" s="12" t="s">
        <v>106</v>
      </c>
      <c r="E118" s="12" t="s">
        <v>107</v>
      </c>
      <c r="F118" s="13">
        <v>0</v>
      </c>
      <c r="G118" s="12" t="str">
        <f>VLOOKUP(InputData[[#This Row],[PRODUCT ID]],MasterData[],2,0)</f>
        <v>Product20</v>
      </c>
      <c r="H118" s="12" t="str">
        <f>VLOOKUP(InputData[[#This Row],[PRODUCT ID]],MasterData[],3,0)</f>
        <v>Category03</v>
      </c>
      <c r="I118" s="12" t="str">
        <f>VLOOKUP(InputData[[#This Row],[PRODUCT ID]],MasterData[],4,0)</f>
        <v>Lt</v>
      </c>
      <c r="J118" s="14">
        <f>VLOOKUP(InputData[[#This Row],[PRODUCT ID]],MasterData[],5,0)</f>
        <v>61</v>
      </c>
      <c r="K118" s="14">
        <f>VLOOKUP(InputData[[#This Row],[PRODUCT ID]],MasterData[],5,0)</f>
        <v>61</v>
      </c>
      <c r="L118" s="14">
        <f>InputData[[#This Row],[BUYING PRIZE]]*InputData[[#This Row],[QUANTITY]]</f>
        <v>732</v>
      </c>
      <c r="M118" s="14">
        <f>InputData[[#This Row],[SELLING PRICE]]*InputData[[#This Row],[QUANTITY]]*(1-InputData[[#This Row],[DISCOUNT %]])</f>
        <v>732</v>
      </c>
      <c r="N118" s="12">
        <f>DAY(InputData[[#This Row],[DATE]])</f>
        <v>4</v>
      </c>
      <c r="O118" s="12" t="str">
        <f>TEXT(InputData[[#This Row],[DATE]],"mmm")</f>
        <v>Jun</v>
      </c>
      <c r="P118" s="12">
        <f>YEAR(InputData[[#This Row],[DATE]])</f>
        <v>2021</v>
      </c>
      <c r="Q118" s="12"/>
    </row>
    <row r="119" spans="1:17" x14ac:dyDescent="0.3">
      <c r="A119" s="10">
        <v>44352</v>
      </c>
      <c r="B119" s="11" t="s">
        <v>52</v>
      </c>
      <c r="C119" s="12">
        <v>15</v>
      </c>
      <c r="D119" s="12" t="s">
        <v>105</v>
      </c>
      <c r="E119" s="12" t="s">
        <v>106</v>
      </c>
      <c r="F119" s="13">
        <v>0</v>
      </c>
      <c r="G119" s="12" t="str">
        <f>VLOOKUP(InputData[[#This Row],[PRODUCT ID]],MasterData[],2,0)</f>
        <v>Product22</v>
      </c>
      <c r="H119" s="12" t="str">
        <f>VLOOKUP(InputData[[#This Row],[PRODUCT ID]],MasterData[],3,0)</f>
        <v>Category03</v>
      </c>
      <c r="I119" s="12" t="str">
        <f>VLOOKUP(InputData[[#This Row],[PRODUCT ID]],MasterData[],4,0)</f>
        <v>Ft</v>
      </c>
      <c r="J119" s="14">
        <f>VLOOKUP(InputData[[#This Row],[PRODUCT ID]],MasterData[],5,0)</f>
        <v>121</v>
      </c>
      <c r="K119" s="14">
        <f>VLOOKUP(InputData[[#This Row],[PRODUCT ID]],MasterData[],5,0)</f>
        <v>121</v>
      </c>
      <c r="L119" s="14">
        <f>InputData[[#This Row],[BUYING PRIZE]]*InputData[[#This Row],[QUANTITY]]</f>
        <v>1815</v>
      </c>
      <c r="M119" s="14">
        <f>InputData[[#This Row],[SELLING PRICE]]*InputData[[#This Row],[QUANTITY]]*(1-InputData[[#This Row],[DISCOUNT %]])</f>
        <v>1815</v>
      </c>
      <c r="N119" s="12">
        <f>DAY(InputData[[#This Row],[DATE]])</f>
        <v>5</v>
      </c>
      <c r="O119" s="12" t="str">
        <f>TEXT(InputData[[#This Row],[DATE]],"mmm")</f>
        <v>Jun</v>
      </c>
      <c r="P119" s="12">
        <f>YEAR(InputData[[#This Row],[DATE]])</f>
        <v>2021</v>
      </c>
      <c r="Q119" s="12"/>
    </row>
    <row r="120" spans="1:17" x14ac:dyDescent="0.3">
      <c r="A120" s="10">
        <v>44352</v>
      </c>
      <c r="B120" s="11" t="s">
        <v>79</v>
      </c>
      <c r="C120" s="12">
        <v>10</v>
      </c>
      <c r="D120" s="12" t="s">
        <v>108</v>
      </c>
      <c r="E120" s="12" t="s">
        <v>106</v>
      </c>
      <c r="F120" s="13">
        <v>0</v>
      </c>
      <c r="G120" s="12" t="str">
        <f>VLOOKUP(InputData[[#This Row],[PRODUCT ID]],MasterData[],2,0)</f>
        <v>Product35</v>
      </c>
      <c r="H120" s="12" t="str">
        <f>VLOOKUP(InputData[[#This Row],[PRODUCT ID]],MasterData[],3,0)</f>
        <v>Category04</v>
      </c>
      <c r="I120" s="12" t="str">
        <f>VLOOKUP(InputData[[#This Row],[PRODUCT ID]],MasterData[],4,0)</f>
        <v>No.</v>
      </c>
      <c r="J120" s="14">
        <f>VLOOKUP(InputData[[#This Row],[PRODUCT ID]],MasterData[],5,0)</f>
        <v>5</v>
      </c>
      <c r="K120" s="14">
        <f>VLOOKUP(InputData[[#This Row],[PRODUCT ID]],MasterData[],5,0)</f>
        <v>5</v>
      </c>
      <c r="L120" s="14">
        <f>InputData[[#This Row],[BUYING PRIZE]]*InputData[[#This Row],[QUANTITY]]</f>
        <v>50</v>
      </c>
      <c r="M120" s="14">
        <f>InputData[[#This Row],[SELLING PRICE]]*InputData[[#This Row],[QUANTITY]]*(1-InputData[[#This Row],[DISCOUNT %]])</f>
        <v>50</v>
      </c>
      <c r="N120" s="12">
        <f>DAY(InputData[[#This Row],[DATE]])</f>
        <v>5</v>
      </c>
      <c r="O120" s="12" t="str">
        <f>TEXT(InputData[[#This Row],[DATE]],"mmm")</f>
        <v>Jun</v>
      </c>
      <c r="P120" s="12">
        <f>YEAR(InputData[[#This Row],[DATE]])</f>
        <v>2021</v>
      </c>
      <c r="Q120" s="12"/>
    </row>
    <row r="121" spans="1:17" x14ac:dyDescent="0.3">
      <c r="A121" s="10">
        <v>44353</v>
      </c>
      <c r="B121" s="11" t="s">
        <v>75</v>
      </c>
      <c r="C121" s="12">
        <v>6</v>
      </c>
      <c r="D121" s="12" t="s">
        <v>108</v>
      </c>
      <c r="E121" s="12" t="s">
        <v>106</v>
      </c>
      <c r="F121" s="13">
        <v>0</v>
      </c>
      <c r="G121" s="12" t="str">
        <f>VLOOKUP(InputData[[#This Row],[PRODUCT ID]],MasterData[],2,0)</f>
        <v>Product33</v>
      </c>
      <c r="H121" s="12" t="str">
        <f>VLOOKUP(InputData[[#This Row],[PRODUCT ID]],MasterData[],3,0)</f>
        <v>Category04</v>
      </c>
      <c r="I121" s="12" t="str">
        <f>VLOOKUP(InputData[[#This Row],[PRODUCT ID]],MasterData[],4,0)</f>
        <v>Kg</v>
      </c>
      <c r="J121" s="14">
        <f>VLOOKUP(InputData[[#This Row],[PRODUCT ID]],MasterData[],5,0)</f>
        <v>95</v>
      </c>
      <c r="K121" s="14">
        <f>VLOOKUP(InputData[[#This Row],[PRODUCT ID]],MasterData[],5,0)</f>
        <v>95</v>
      </c>
      <c r="L121" s="14">
        <f>InputData[[#This Row],[BUYING PRIZE]]*InputData[[#This Row],[QUANTITY]]</f>
        <v>570</v>
      </c>
      <c r="M121" s="14">
        <f>InputData[[#This Row],[SELLING PRICE]]*InputData[[#This Row],[QUANTITY]]*(1-InputData[[#This Row],[DISCOUNT %]])</f>
        <v>570</v>
      </c>
      <c r="N121" s="12">
        <f>DAY(InputData[[#This Row],[DATE]])</f>
        <v>6</v>
      </c>
      <c r="O121" s="12" t="str">
        <f>TEXT(InputData[[#This Row],[DATE]],"mmm")</f>
        <v>Jun</v>
      </c>
      <c r="P121" s="12">
        <f>YEAR(InputData[[#This Row],[DATE]])</f>
        <v>2021</v>
      </c>
      <c r="Q121" s="12"/>
    </row>
    <row r="122" spans="1:17" x14ac:dyDescent="0.3">
      <c r="A122" s="10">
        <v>44355</v>
      </c>
      <c r="B122" s="11" t="s">
        <v>65</v>
      </c>
      <c r="C122" s="12">
        <v>11</v>
      </c>
      <c r="D122" s="12" t="s">
        <v>108</v>
      </c>
      <c r="E122" s="12" t="s">
        <v>106</v>
      </c>
      <c r="F122" s="13">
        <v>0</v>
      </c>
      <c r="G122" s="12" t="str">
        <f>VLOOKUP(InputData[[#This Row],[PRODUCT ID]],MasterData[],2,0)</f>
        <v>Product28</v>
      </c>
      <c r="H122" s="12" t="str">
        <f>VLOOKUP(InputData[[#This Row],[PRODUCT ID]],MasterData[],3,0)</f>
        <v>Category04</v>
      </c>
      <c r="I122" s="12" t="str">
        <f>VLOOKUP(InputData[[#This Row],[PRODUCT ID]],MasterData[],4,0)</f>
        <v>No.</v>
      </c>
      <c r="J122" s="14">
        <f>VLOOKUP(InputData[[#This Row],[PRODUCT ID]],MasterData[],5,0)</f>
        <v>37</v>
      </c>
      <c r="K122" s="14">
        <f>VLOOKUP(InputData[[#This Row],[PRODUCT ID]],MasterData[],5,0)</f>
        <v>37</v>
      </c>
      <c r="L122" s="14">
        <f>InputData[[#This Row],[BUYING PRIZE]]*InputData[[#This Row],[QUANTITY]]</f>
        <v>407</v>
      </c>
      <c r="M122" s="14">
        <f>InputData[[#This Row],[SELLING PRICE]]*InputData[[#This Row],[QUANTITY]]*(1-InputData[[#This Row],[DISCOUNT %]])</f>
        <v>407</v>
      </c>
      <c r="N122" s="12">
        <f>DAY(InputData[[#This Row],[DATE]])</f>
        <v>8</v>
      </c>
      <c r="O122" s="12" t="str">
        <f>TEXT(InputData[[#This Row],[DATE]],"mmm")</f>
        <v>Jun</v>
      </c>
      <c r="P122" s="12">
        <f>YEAR(InputData[[#This Row],[DATE]])</f>
        <v>2021</v>
      </c>
      <c r="Q122" s="12"/>
    </row>
    <row r="123" spans="1:17" x14ac:dyDescent="0.3">
      <c r="A123" s="10">
        <v>44355</v>
      </c>
      <c r="B123" s="11" t="s">
        <v>14</v>
      </c>
      <c r="C123" s="12">
        <v>11</v>
      </c>
      <c r="D123" s="12" t="s">
        <v>105</v>
      </c>
      <c r="E123" s="12" t="s">
        <v>107</v>
      </c>
      <c r="F123" s="13">
        <v>0</v>
      </c>
      <c r="G123" s="12" t="str">
        <f>VLOOKUP(InputData[[#This Row],[PRODUCT ID]],MasterData[],2,0)</f>
        <v>Product04</v>
      </c>
      <c r="H123" s="12" t="str">
        <f>VLOOKUP(InputData[[#This Row],[PRODUCT ID]],MasterData[],3,0)</f>
        <v>Category01</v>
      </c>
      <c r="I123" s="12" t="str">
        <f>VLOOKUP(InputData[[#This Row],[PRODUCT ID]],MasterData[],4,0)</f>
        <v>Lt</v>
      </c>
      <c r="J123" s="14">
        <f>VLOOKUP(InputData[[#This Row],[PRODUCT ID]],MasterData[],5,0)</f>
        <v>44</v>
      </c>
      <c r="K123" s="14">
        <f>VLOOKUP(InputData[[#This Row],[PRODUCT ID]],MasterData[],5,0)</f>
        <v>44</v>
      </c>
      <c r="L123" s="14">
        <f>InputData[[#This Row],[BUYING PRIZE]]*InputData[[#This Row],[QUANTITY]]</f>
        <v>484</v>
      </c>
      <c r="M123" s="14">
        <f>InputData[[#This Row],[SELLING PRICE]]*InputData[[#This Row],[QUANTITY]]*(1-InputData[[#This Row],[DISCOUNT %]])</f>
        <v>484</v>
      </c>
      <c r="N123" s="12">
        <f>DAY(InputData[[#This Row],[DATE]])</f>
        <v>8</v>
      </c>
      <c r="O123" s="12" t="str">
        <f>TEXT(InputData[[#This Row],[DATE]],"mmm")</f>
        <v>Jun</v>
      </c>
      <c r="P123" s="12">
        <f>YEAR(InputData[[#This Row],[DATE]])</f>
        <v>2021</v>
      </c>
      <c r="Q123" s="12"/>
    </row>
    <row r="124" spans="1:17" x14ac:dyDescent="0.3">
      <c r="A124" s="10">
        <v>44356</v>
      </c>
      <c r="B124" s="11" t="s">
        <v>6</v>
      </c>
      <c r="C124" s="12">
        <v>7</v>
      </c>
      <c r="D124" s="12" t="s">
        <v>108</v>
      </c>
      <c r="E124" s="12" t="s">
        <v>106</v>
      </c>
      <c r="F124" s="13">
        <v>0</v>
      </c>
      <c r="G124" s="12" t="str">
        <f>VLOOKUP(InputData[[#This Row],[PRODUCT ID]],MasterData[],2,0)</f>
        <v>Product01</v>
      </c>
      <c r="H124" s="12" t="str">
        <f>VLOOKUP(InputData[[#This Row],[PRODUCT ID]],MasterData[],3,0)</f>
        <v>Category01</v>
      </c>
      <c r="I124" s="12" t="str">
        <f>VLOOKUP(InputData[[#This Row],[PRODUCT ID]],MasterData[],4,0)</f>
        <v>Kg</v>
      </c>
      <c r="J124" s="14">
        <f>VLOOKUP(InputData[[#This Row],[PRODUCT ID]],MasterData[],5,0)</f>
        <v>98</v>
      </c>
      <c r="K124" s="14">
        <f>VLOOKUP(InputData[[#This Row],[PRODUCT ID]],MasterData[],5,0)</f>
        <v>98</v>
      </c>
      <c r="L124" s="14">
        <f>InputData[[#This Row],[BUYING PRIZE]]*InputData[[#This Row],[QUANTITY]]</f>
        <v>686</v>
      </c>
      <c r="M124" s="14">
        <f>InputData[[#This Row],[SELLING PRICE]]*InputData[[#This Row],[QUANTITY]]*(1-InputData[[#This Row],[DISCOUNT %]])</f>
        <v>686</v>
      </c>
      <c r="N124" s="12">
        <f>DAY(InputData[[#This Row],[DATE]])</f>
        <v>9</v>
      </c>
      <c r="O124" s="12" t="str">
        <f>TEXT(InputData[[#This Row],[DATE]],"mmm")</f>
        <v>Jun</v>
      </c>
      <c r="P124" s="12">
        <f>YEAR(InputData[[#This Row],[DATE]])</f>
        <v>2021</v>
      </c>
      <c r="Q124" s="12"/>
    </row>
    <row r="125" spans="1:17" x14ac:dyDescent="0.3">
      <c r="A125" s="10">
        <v>44358</v>
      </c>
      <c r="B125" s="11" t="s">
        <v>73</v>
      </c>
      <c r="C125" s="12">
        <v>12</v>
      </c>
      <c r="D125" s="12" t="s">
        <v>105</v>
      </c>
      <c r="E125" s="12" t="s">
        <v>107</v>
      </c>
      <c r="F125" s="13">
        <v>0</v>
      </c>
      <c r="G125" s="12" t="str">
        <f>VLOOKUP(InputData[[#This Row],[PRODUCT ID]],MasterData[],2,0)</f>
        <v>Product32</v>
      </c>
      <c r="H125" s="12" t="str">
        <f>VLOOKUP(InputData[[#This Row],[PRODUCT ID]],MasterData[],3,0)</f>
        <v>Category04</v>
      </c>
      <c r="I125" s="12" t="str">
        <f>VLOOKUP(InputData[[#This Row],[PRODUCT ID]],MasterData[],4,0)</f>
        <v>Kg</v>
      </c>
      <c r="J125" s="14">
        <f>VLOOKUP(InputData[[#This Row],[PRODUCT ID]],MasterData[],5,0)</f>
        <v>89</v>
      </c>
      <c r="K125" s="14">
        <f>VLOOKUP(InputData[[#This Row],[PRODUCT ID]],MasterData[],5,0)</f>
        <v>89</v>
      </c>
      <c r="L125" s="14">
        <f>InputData[[#This Row],[BUYING PRIZE]]*InputData[[#This Row],[QUANTITY]]</f>
        <v>1068</v>
      </c>
      <c r="M125" s="14">
        <f>InputData[[#This Row],[SELLING PRICE]]*InputData[[#This Row],[QUANTITY]]*(1-InputData[[#This Row],[DISCOUNT %]])</f>
        <v>1068</v>
      </c>
      <c r="N125" s="12">
        <f>DAY(InputData[[#This Row],[DATE]])</f>
        <v>11</v>
      </c>
      <c r="O125" s="12" t="str">
        <f>TEXT(InputData[[#This Row],[DATE]],"mmm")</f>
        <v>Jun</v>
      </c>
      <c r="P125" s="12">
        <f>YEAR(InputData[[#This Row],[DATE]])</f>
        <v>2021</v>
      </c>
      <c r="Q125" s="12"/>
    </row>
    <row r="126" spans="1:17" x14ac:dyDescent="0.3">
      <c r="A126" s="10">
        <v>44359</v>
      </c>
      <c r="B126" s="11" t="s">
        <v>92</v>
      </c>
      <c r="C126" s="12">
        <v>6</v>
      </c>
      <c r="D126" s="12" t="s">
        <v>108</v>
      </c>
      <c r="E126" s="12" t="s">
        <v>106</v>
      </c>
      <c r="F126" s="13">
        <v>0</v>
      </c>
      <c r="G126" s="12" t="str">
        <f>VLOOKUP(InputData[[#This Row],[PRODUCT ID]],MasterData[],2,0)</f>
        <v>Product41</v>
      </c>
      <c r="H126" s="12" t="str">
        <f>VLOOKUP(InputData[[#This Row],[PRODUCT ID]],MasterData[],3,0)</f>
        <v>Category05</v>
      </c>
      <c r="I126" s="12" t="str">
        <f>VLOOKUP(InputData[[#This Row],[PRODUCT ID]],MasterData[],4,0)</f>
        <v>Ft</v>
      </c>
      <c r="J126" s="14">
        <f>VLOOKUP(InputData[[#This Row],[PRODUCT ID]],MasterData[],5,0)</f>
        <v>138</v>
      </c>
      <c r="K126" s="14">
        <f>VLOOKUP(InputData[[#This Row],[PRODUCT ID]],MasterData[],5,0)</f>
        <v>138</v>
      </c>
      <c r="L126" s="14">
        <f>InputData[[#This Row],[BUYING PRIZE]]*InputData[[#This Row],[QUANTITY]]</f>
        <v>828</v>
      </c>
      <c r="M126" s="14">
        <f>InputData[[#This Row],[SELLING PRICE]]*InputData[[#This Row],[QUANTITY]]*(1-InputData[[#This Row],[DISCOUNT %]])</f>
        <v>828</v>
      </c>
      <c r="N126" s="12">
        <f>DAY(InputData[[#This Row],[DATE]])</f>
        <v>12</v>
      </c>
      <c r="O126" s="12" t="str">
        <f>TEXT(InputData[[#This Row],[DATE]],"mmm")</f>
        <v>Jun</v>
      </c>
      <c r="P126" s="12">
        <f>YEAR(InputData[[#This Row],[DATE]])</f>
        <v>2021</v>
      </c>
      <c r="Q126" s="12"/>
    </row>
    <row r="127" spans="1:17" x14ac:dyDescent="0.3">
      <c r="A127" s="10">
        <v>44361</v>
      </c>
      <c r="B127" s="11" t="s">
        <v>58</v>
      </c>
      <c r="C127" s="12">
        <v>10</v>
      </c>
      <c r="D127" s="12" t="s">
        <v>106</v>
      </c>
      <c r="E127" s="12" t="s">
        <v>107</v>
      </c>
      <c r="F127" s="13">
        <v>0</v>
      </c>
      <c r="G127" s="12" t="str">
        <f>VLOOKUP(InputData[[#This Row],[PRODUCT ID]],MasterData[],2,0)</f>
        <v>Product25</v>
      </c>
      <c r="H127" s="12" t="str">
        <f>VLOOKUP(InputData[[#This Row],[PRODUCT ID]],MasterData[],3,0)</f>
        <v>Category03</v>
      </c>
      <c r="I127" s="12" t="str">
        <f>VLOOKUP(InputData[[#This Row],[PRODUCT ID]],MasterData[],4,0)</f>
        <v>No.</v>
      </c>
      <c r="J127" s="14">
        <f>VLOOKUP(InputData[[#This Row],[PRODUCT ID]],MasterData[],5,0)</f>
        <v>7</v>
      </c>
      <c r="K127" s="14">
        <f>VLOOKUP(InputData[[#This Row],[PRODUCT ID]],MasterData[],5,0)</f>
        <v>7</v>
      </c>
      <c r="L127" s="14">
        <f>InputData[[#This Row],[BUYING PRIZE]]*InputData[[#This Row],[QUANTITY]]</f>
        <v>70</v>
      </c>
      <c r="M127" s="14">
        <f>InputData[[#This Row],[SELLING PRICE]]*InputData[[#This Row],[QUANTITY]]*(1-InputData[[#This Row],[DISCOUNT %]])</f>
        <v>70</v>
      </c>
      <c r="N127" s="12">
        <f>DAY(InputData[[#This Row],[DATE]])</f>
        <v>14</v>
      </c>
      <c r="O127" s="12" t="str">
        <f>TEXT(InputData[[#This Row],[DATE]],"mmm")</f>
        <v>Jun</v>
      </c>
      <c r="P127" s="12">
        <f>YEAR(InputData[[#This Row],[DATE]])</f>
        <v>2021</v>
      </c>
      <c r="Q127" s="12"/>
    </row>
    <row r="128" spans="1:17" x14ac:dyDescent="0.3">
      <c r="A128" s="10">
        <v>44363</v>
      </c>
      <c r="B128" s="11" t="s">
        <v>45</v>
      </c>
      <c r="C128" s="12">
        <v>5</v>
      </c>
      <c r="D128" s="12" t="s">
        <v>105</v>
      </c>
      <c r="E128" s="12" t="s">
        <v>107</v>
      </c>
      <c r="F128" s="13">
        <v>0</v>
      </c>
      <c r="G128" s="12" t="str">
        <f>VLOOKUP(InputData[[#This Row],[PRODUCT ID]],MasterData[],2,0)</f>
        <v>Product19</v>
      </c>
      <c r="H128" s="12" t="str">
        <f>VLOOKUP(InputData[[#This Row],[PRODUCT ID]],MasterData[],3,0)</f>
        <v>Category02</v>
      </c>
      <c r="I128" s="12" t="str">
        <f>VLOOKUP(InputData[[#This Row],[PRODUCT ID]],MasterData[],4,0)</f>
        <v>Ft</v>
      </c>
      <c r="J128" s="14">
        <f>VLOOKUP(InputData[[#This Row],[PRODUCT ID]],MasterData[],5,0)</f>
        <v>150</v>
      </c>
      <c r="K128" s="14">
        <f>VLOOKUP(InputData[[#This Row],[PRODUCT ID]],MasterData[],5,0)</f>
        <v>150</v>
      </c>
      <c r="L128" s="14">
        <f>InputData[[#This Row],[BUYING PRIZE]]*InputData[[#This Row],[QUANTITY]]</f>
        <v>750</v>
      </c>
      <c r="M128" s="14">
        <f>InputData[[#This Row],[SELLING PRICE]]*InputData[[#This Row],[QUANTITY]]*(1-InputData[[#This Row],[DISCOUNT %]])</f>
        <v>750</v>
      </c>
      <c r="N128" s="12">
        <f>DAY(InputData[[#This Row],[DATE]])</f>
        <v>16</v>
      </c>
      <c r="O128" s="12" t="str">
        <f>TEXT(InputData[[#This Row],[DATE]],"mmm")</f>
        <v>Jun</v>
      </c>
      <c r="P128" s="12">
        <f>YEAR(InputData[[#This Row],[DATE]])</f>
        <v>2021</v>
      </c>
      <c r="Q128" s="12"/>
    </row>
    <row r="129" spans="1:17" x14ac:dyDescent="0.3">
      <c r="A129" s="10">
        <v>44363</v>
      </c>
      <c r="B129" s="11" t="s">
        <v>37</v>
      </c>
      <c r="C129" s="12">
        <v>12</v>
      </c>
      <c r="D129" s="12" t="s">
        <v>106</v>
      </c>
      <c r="E129" s="12" t="s">
        <v>107</v>
      </c>
      <c r="F129" s="13">
        <v>0</v>
      </c>
      <c r="G129" s="12" t="str">
        <f>VLOOKUP(InputData[[#This Row],[PRODUCT ID]],MasterData[],2,0)</f>
        <v>Product15</v>
      </c>
      <c r="H129" s="12" t="str">
        <f>VLOOKUP(InputData[[#This Row],[PRODUCT ID]],MasterData[],3,0)</f>
        <v>Category02</v>
      </c>
      <c r="I129" s="12" t="str">
        <f>VLOOKUP(InputData[[#This Row],[PRODUCT ID]],MasterData[],4,0)</f>
        <v>No.</v>
      </c>
      <c r="J129" s="14">
        <f>VLOOKUP(InputData[[#This Row],[PRODUCT ID]],MasterData[],5,0)</f>
        <v>12</v>
      </c>
      <c r="K129" s="14">
        <f>VLOOKUP(InputData[[#This Row],[PRODUCT ID]],MasterData[],5,0)</f>
        <v>12</v>
      </c>
      <c r="L129" s="14">
        <f>InputData[[#This Row],[BUYING PRIZE]]*InputData[[#This Row],[QUANTITY]]</f>
        <v>144</v>
      </c>
      <c r="M129" s="14">
        <f>InputData[[#This Row],[SELLING PRICE]]*InputData[[#This Row],[QUANTITY]]*(1-InputData[[#This Row],[DISCOUNT %]])</f>
        <v>144</v>
      </c>
      <c r="N129" s="12">
        <f>DAY(InputData[[#This Row],[DATE]])</f>
        <v>16</v>
      </c>
      <c r="O129" s="12" t="str">
        <f>TEXT(InputData[[#This Row],[DATE]],"mmm")</f>
        <v>Jun</v>
      </c>
      <c r="P129" s="12">
        <f>YEAR(InputData[[#This Row],[DATE]])</f>
        <v>2021</v>
      </c>
      <c r="Q129" s="12"/>
    </row>
    <row r="130" spans="1:17" x14ac:dyDescent="0.3">
      <c r="A130" s="10">
        <v>44363</v>
      </c>
      <c r="B130" s="11" t="s">
        <v>88</v>
      </c>
      <c r="C130" s="12">
        <v>11</v>
      </c>
      <c r="D130" s="12" t="s">
        <v>108</v>
      </c>
      <c r="E130" s="12" t="s">
        <v>107</v>
      </c>
      <c r="F130" s="13">
        <v>0</v>
      </c>
      <c r="G130" s="12" t="str">
        <f>VLOOKUP(InputData[[#This Row],[PRODUCT ID]],MasterData[],2,0)</f>
        <v>Product39</v>
      </c>
      <c r="H130" s="12" t="str">
        <f>VLOOKUP(InputData[[#This Row],[PRODUCT ID]],MasterData[],3,0)</f>
        <v>Category05</v>
      </c>
      <c r="I130" s="12" t="str">
        <f>VLOOKUP(InputData[[#This Row],[PRODUCT ID]],MasterData[],4,0)</f>
        <v>No.</v>
      </c>
      <c r="J130" s="14">
        <f>VLOOKUP(InputData[[#This Row],[PRODUCT ID]],MasterData[],5,0)</f>
        <v>37</v>
      </c>
      <c r="K130" s="14">
        <f>VLOOKUP(InputData[[#This Row],[PRODUCT ID]],MasterData[],5,0)</f>
        <v>37</v>
      </c>
      <c r="L130" s="14">
        <f>InputData[[#This Row],[BUYING PRIZE]]*InputData[[#This Row],[QUANTITY]]</f>
        <v>407</v>
      </c>
      <c r="M130" s="14">
        <f>InputData[[#This Row],[SELLING PRICE]]*InputData[[#This Row],[QUANTITY]]*(1-InputData[[#This Row],[DISCOUNT %]])</f>
        <v>407</v>
      </c>
      <c r="N130" s="12">
        <f>DAY(InputData[[#This Row],[DATE]])</f>
        <v>16</v>
      </c>
      <c r="O130" s="12" t="str">
        <f>TEXT(InputData[[#This Row],[DATE]],"mmm")</f>
        <v>Jun</v>
      </c>
      <c r="P130" s="12">
        <f>YEAR(InputData[[#This Row],[DATE]])</f>
        <v>2021</v>
      </c>
      <c r="Q130" s="12"/>
    </row>
    <row r="131" spans="1:17" x14ac:dyDescent="0.3">
      <c r="A131" s="10">
        <v>44365</v>
      </c>
      <c r="B131" s="11" t="s">
        <v>58</v>
      </c>
      <c r="C131" s="12">
        <v>13</v>
      </c>
      <c r="D131" s="12" t="s">
        <v>108</v>
      </c>
      <c r="E131" s="12" t="s">
        <v>107</v>
      </c>
      <c r="F131" s="13">
        <v>0</v>
      </c>
      <c r="G131" s="12" t="str">
        <f>VLOOKUP(InputData[[#This Row],[PRODUCT ID]],MasterData[],2,0)</f>
        <v>Product25</v>
      </c>
      <c r="H131" s="12" t="str">
        <f>VLOOKUP(InputData[[#This Row],[PRODUCT ID]],MasterData[],3,0)</f>
        <v>Category03</v>
      </c>
      <c r="I131" s="12" t="str">
        <f>VLOOKUP(InputData[[#This Row],[PRODUCT ID]],MasterData[],4,0)</f>
        <v>No.</v>
      </c>
      <c r="J131" s="14">
        <f>VLOOKUP(InputData[[#This Row],[PRODUCT ID]],MasterData[],5,0)</f>
        <v>7</v>
      </c>
      <c r="K131" s="14">
        <f>VLOOKUP(InputData[[#This Row],[PRODUCT ID]],MasterData[],5,0)</f>
        <v>7</v>
      </c>
      <c r="L131" s="14">
        <f>InputData[[#This Row],[BUYING PRIZE]]*InputData[[#This Row],[QUANTITY]]</f>
        <v>91</v>
      </c>
      <c r="M131" s="14">
        <f>InputData[[#This Row],[SELLING PRICE]]*InputData[[#This Row],[QUANTITY]]*(1-InputData[[#This Row],[DISCOUNT %]])</f>
        <v>91</v>
      </c>
      <c r="N131" s="12">
        <f>DAY(InputData[[#This Row],[DATE]])</f>
        <v>18</v>
      </c>
      <c r="O131" s="12" t="str">
        <f>TEXT(InputData[[#This Row],[DATE]],"mmm")</f>
        <v>Jun</v>
      </c>
      <c r="P131" s="12">
        <f>YEAR(InputData[[#This Row],[DATE]])</f>
        <v>2021</v>
      </c>
      <c r="Q131" s="12"/>
    </row>
    <row r="132" spans="1:17" x14ac:dyDescent="0.3">
      <c r="A132" s="10">
        <v>44366</v>
      </c>
      <c r="B132" s="11" t="s">
        <v>92</v>
      </c>
      <c r="C132" s="12">
        <v>5</v>
      </c>
      <c r="D132" s="12" t="s">
        <v>108</v>
      </c>
      <c r="E132" s="12" t="s">
        <v>106</v>
      </c>
      <c r="F132" s="13">
        <v>0</v>
      </c>
      <c r="G132" s="12" t="str">
        <f>VLOOKUP(InputData[[#This Row],[PRODUCT ID]],MasterData[],2,0)</f>
        <v>Product41</v>
      </c>
      <c r="H132" s="12" t="str">
        <f>VLOOKUP(InputData[[#This Row],[PRODUCT ID]],MasterData[],3,0)</f>
        <v>Category05</v>
      </c>
      <c r="I132" s="12" t="str">
        <f>VLOOKUP(InputData[[#This Row],[PRODUCT ID]],MasterData[],4,0)</f>
        <v>Ft</v>
      </c>
      <c r="J132" s="14">
        <f>VLOOKUP(InputData[[#This Row],[PRODUCT ID]],MasterData[],5,0)</f>
        <v>138</v>
      </c>
      <c r="K132" s="14">
        <f>VLOOKUP(InputData[[#This Row],[PRODUCT ID]],MasterData[],5,0)</f>
        <v>138</v>
      </c>
      <c r="L132" s="14">
        <f>InputData[[#This Row],[BUYING PRIZE]]*InputData[[#This Row],[QUANTITY]]</f>
        <v>690</v>
      </c>
      <c r="M132" s="14">
        <f>InputData[[#This Row],[SELLING PRICE]]*InputData[[#This Row],[QUANTITY]]*(1-InputData[[#This Row],[DISCOUNT %]])</f>
        <v>690</v>
      </c>
      <c r="N132" s="12">
        <f>DAY(InputData[[#This Row],[DATE]])</f>
        <v>19</v>
      </c>
      <c r="O132" s="12" t="str">
        <f>TEXT(InputData[[#This Row],[DATE]],"mmm")</f>
        <v>Jun</v>
      </c>
      <c r="P132" s="12">
        <f>YEAR(InputData[[#This Row],[DATE]])</f>
        <v>2021</v>
      </c>
      <c r="Q132" s="12"/>
    </row>
    <row r="133" spans="1:17" x14ac:dyDescent="0.3">
      <c r="A133" s="10">
        <v>44367</v>
      </c>
      <c r="B133" s="11" t="s">
        <v>39</v>
      </c>
      <c r="C133" s="12">
        <v>1</v>
      </c>
      <c r="D133" s="12" t="s">
        <v>105</v>
      </c>
      <c r="E133" s="12" t="s">
        <v>107</v>
      </c>
      <c r="F133" s="13">
        <v>0</v>
      </c>
      <c r="G133" s="12" t="str">
        <f>VLOOKUP(InputData[[#This Row],[PRODUCT ID]],MasterData[],2,0)</f>
        <v>Product16</v>
      </c>
      <c r="H133" s="12" t="str">
        <f>VLOOKUP(InputData[[#This Row],[PRODUCT ID]],MasterData[],3,0)</f>
        <v>Category02</v>
      </c>
      <c r="I133" s="12" t="str">
        <f>VLOOKUP(InputData[[#This Row],[PRODUCT ID]],MasterData[],4,0)</f>
        <v>No.</v>
      </c>
      <c r="J133" s="14">
        <f>VLOOKUP(InputData[[#This Row],[PRODUCT ID]],MasterData[],5,0)</f>
        <v>13</v>
      </c>
      <c r="K133" s="14">
        <f>VLOOKUP(InputData[[#This Row],[PRODUCT ID]],MasterData[],5,0)</f>
        <v>13</v>
      </c>
      <c r="L133" s="14">
        <f>InputData[[#This Row],[BUYING PRIZE]]*InputData[[#This Row],[QUANTITY]]</f>
        <v>13</v>
      </c>
      <c r="M133" s="14">
        <f>InputData[[#This Row],[SELLING PRICE]]*InputData[[#This Row],[QUANTITY]]*(1-InputData[[#This Row],[DISCOUNT %]])</f>
        <v>13</v>
      </c>
      <c r="N133" s="12">
        <f>DAY(InputData[[#This Row],[DATE]])</f>
        <v>20</v>
      </c>
      <c r="O133" s="12" t="str">
        <f>TEXT(InputData[[#This Row],[DATE]],"mmm")</f>
        <v>Jun</v>
      </c>
      <c r="P133" s="12">
        <f>YEAR(InputData[[#This Row],[DATE]])</f>
        <v>2021</v>
      </c>
      <c r="Q133" s="12"/>
    </row>
    <row r="134" spans="1:17" x14ac:dyDescent="0.3">
      <c r="A134" s="10">
        <v>44370</v>
      </c>
      <c r="B134" s="11" t="s">
        <v>39</v>
      </c>
      <c r="C134" s="12">
        <v>4</v>
      </c>
      <c r="D134" s="12" t="s">
        <v>108</v>
      </c>
      <c r="E134" s="12" t="s">
        <v>106</v>
      </c>
      <c r="F134" s="13">
        <v>0</v>
      </c>
      <c r="G134" s="12" t="str">
        <f>VLOOKUP(InputData[[#This Row],[PRODUCT ID]],MasterData[],2,0)</f>
        <v>Product16</v>
      </c>
      <c r="H134" s="12" t="str">
        <f>VLOOKUP(InputData[[#This Row],[PRODUCT ID]],MasterData[],3,0)</f>
        <v>Category02</v>
      </c>
      <c r="I134" s="12" t="str">
        <f>VLOOKUP(InputData[[#This Row],[PRODUCT ID]],MasterData[],4,0)</f>
        <v>No.</v>
      </c>
      <c r="J134" s="14">
        <f>VLOOKUP(InputData[[#This Row],[PRODUCT ID]],MasterData[],5,0)</f>
        <v>13</v>
      </c>
      <c r="K134" s="14">
        <f>VLOOKUP(InputData[[#This Row],[PRODUCT ID]],MasterData[],5,0)</f>
        <v>13</v>
      </c>
      <c r="L134" s="14">
        <f>InputData[[#This Row],[BUYING PRIZE]]*InputData[[#This Row],[QUANTITY]]</f>
        <v>52</v>
      </c>
      <c r="M134" s="14">
        <f>InputData[[#This Row],[SELLING PRICE]]*InputData[[#This Row],[QUANTITY]]*(1-InputData[[#This Row],[DISCOUNT %]])</f>
        <v>52</v>
      </c>
      <c r="N134" s="12">
        <f>DAY(InputData[[#This Row],[DATE]])</f>
        <v>23</v>
      </c>
      <c r="O134" s="12" t="str">
        <f>TEXT(InputData[[#This Row],[DATE]],"mmm")</f>
        <v>Jun</v>
      </c>
      <c r="P134" s="12">
        <f>YEAR(InputData[[#This Row],[DATE]])</f>
        <v>2021</v>
      </c>
      <c r="Q134" s="12"/>
    </row>
    <row r="135" spans="1:17" x14ac:dyDescent="0.3">
      <c r="A135" s="10">
        <v>44371</v>
      </c>
      <c r="B135" s="11" t="s">
        <v>29</v>
      </c>
      <c r="C135" s="12">
        <v>13</v>
      </c>
      <c r="D135" s="12" t="s">
        <v>108</v>
      </c>
      <c r="E135" s="12" t="s">
        <v>106</v>
      </c>
      <c r="F135" s="13">
        <v>0</v>
      </c>
      <c r="G135" s="12" t="str">
        <f>VLOOKUP(InputData[[#This Row],[PRODUCT ID]],MasterData[],2,0)</f>
        <v>Product11</v>
      </c>
      <c r="H135" s="12" t="str">
        <f>VLOOKUP(InputData[[#This Row],[PRODUCT ID]],MasterData[],3,0)</f>
        <v>Category02</v>
      </c>
      <c r="I135" s="12" t="str">
        <f>VLOOKUP(InputData[[#This Row],[PRODUCT ID]],MasterData[],4,0)</f>
        <v>Lt</v>
      </c>
      <c r="J135" s="14">
        <f>VLOOKUP(InputData[[#This Row],[PRODUCT ID]],MasterData[],5,0)</f>
        <v>44</v>
      </c>
      <c r="K135" s="14">
        <f>VLOOKUP(InputData[[#This Row],[PRODUCT ID]],MasterData[],5,0)</f>
        <v>44</v>
      </c>
      <c r="L135" s="14">
        <f>InputData[[#This Row],[BUYING PRIZE]]*InputData[[#This Row],[QUANTITY]]</f>
        <v>572</v>
      </c>
      <c r="M135" s="14">
        <f>InputData[[#This Row],[SELLING PRICE]]*InputData[[#This Row],[QUANTITY]]*(1-InputData[[#This Row],[DISCOUNT %]])</f>
        <v>572</v>
      </c>
      <c r="N135" s="12">
        <f>DAY(InputData[[#This Row],[DATE]])</f>
        <v>24</v>
      </c>
      <c r="O135" s="12" t="str">
        <f>TEXT(InputData[[#This Row],[DATE]],"mmm")</f>
        <v>Jun</v>
      </c>
      <c r="P135" s="12">
        <f>YEAR(InputData[[#This Row],[DATE]])</f>
        <v>2021</v>
      </c>
      <c r="Q135" s="12"/>
    </row>
    <row r="136" spans="1:17" x14ac:dyDescent="0.3">
      <c r="A136" s="10">
        <v>44373</v>
      </c>
      <c r="B136" s="11" t="s">
        <v>24</v>
      </c>
      <c r="C136" s="12">
        <v>7</v>
      </c>
      <c r="D136" s="12" t="s">
        <v>106</v>
      </c>
      <c r="E136" s="12" t="s">
        <v>106</v>
      </c>
      <c r="F136" s="13">
        <v>0</v>
      </c>
      <c r="G136" s="12" t="str">
        <f>VLOOKUP(InputData[[#This Row],[PRODUCT ID]],MasterData[],2,0)</f>
        <v>Product09</v>
      </c>
      <c r="H136" s="12" t="str">
        <f>VLOOKUP(InputData[[#This Row],[PRODUCT ID]],MasterData[],3,0)</f>
        <v>Category01</v>
      </c>
      <c r="I136" s="12" t="str">
        <f>VLOOKUP(InputData[[#This Row],[PRODUCT ID]],MasterData[],4,0)</f>
        <v>No.</v>
      </c>
      <c r="J136" s="14">
        <f>VLOOKUP(InputData[[#This Row],[PRODUCT ID]],MasterData[],5,0)</f>
        <v>6</v>
      </c>
      <c r="K136" s="14">
        <f>VLOOKUP(InputData[[#This Row],[PRODUCT ID]],MasterData[],5,0)</f>
        <v>6</v>
      </c>
      <c r="L136" s="14">
        <f>InputData[[#This Row],[BUYING PRIZE]]*InputData[[#This Row],[QUANTITY]]</f>
        <v>42</v>
      </c>
      <c r="M136" s="14">
        <f>InputData[[#This Row],[SELLING PRICE]]*InputData[[#This Row],[QUANTITY]]*(1-InputData[[#This Row],[DISCOUNT %]])</f>
        <v>42</v>
      </c>
      <c r="N136" s="12">
        <f>DAY(InputData[[#This Row],[DATE]])</f>
        <v>26</v>
      </c>
      <c r="O136" s="12" t="str">
        <f>TEXT(InputData[[#This Row],[DATE]],"mmm")</f>
        <v>Jun</v>
      </c>
      <c r="P136" s="12">
        <f>YEAR(InputData[[#This Row],[DATE]])</f>
        <v>2021</v>
      </c>
      <c r="Q136" s="12"/>
    </row>
    <row r="137" spans="1:17" x14ac:dyDescent="0.3">
      <c r="A137" s="10">
        <v>44374</v>
      </c>
      <c r="B137" s="11" t="s">
        <v>16</v>
      </c>
      <c r="C137" s="12">
        <v>11</v>
      </c>
      <c r="D137" s="12" t="s">
        <v>108</v>
      </c>
      <c r="E137" s="12" t="s">
        <v>107</v>
      </c>
      <c r="F137" s="13">
        <v>0</v>
      </c>
      <c r="G137" s="12" t="str">
        <f>VLOOKUP(InputData[[#This Row],[PRODUCT ID]],MasterData[],2,0)</f>
        <v>Product05</v>
      </c>
      <c r="H137" s="12" t="str">
        <f>VLOOKUP(InputData[[#This Row],[PRODUCT ID]],MasterData[],3,0)</f>
        <v>Category01</v>
      </c>
      <c r="I137" s="12" t="str">
        <f>VLOOKUP(InputData[[#This Row],[PRODUCT ID]],MasterData[],4,0)</f>
        <v>Ft</v>
      </c>
      <c r="J137" s="14">
        <f>VLOOKUP(InputData[[#This Row],[PRODUCT ID]],MasterData[],5,0)</f>
        <v>133</v>
      </c>
      <c r="K137" s="14">
        <f>VLOOKUP(InputData[[#This Row],[PRODUCT ID]],MasterData[],5,0)</f>
        <v>133</v>
      </c>
      <c r="L137" s="14">
        <f>InputData[[#This Row],[BUYING PRIZE]]*InputData[[#This Row],[QUANTITY]]</f>
        <v>1463</v>
      </c>
      <c r="M137" s="14">
        <f>InputData[[#This Row],[SELLING PRICE]]*InputData[[#This Row],[QUANTITY]]*(1-InputData[[#This Row],[DISCOUNT %]])</f>
        <v>1463</v>
      </c>
      <c r="N137" s="12">
        <f>DAY(InputData[[#This Row],[DATE]])</f>
        <v>27</v>
      </c>
      <c r="O137" s="12" t="str">
        <f>TEXT(InputData[[#This Row],[DATE]],"mmm")</f>
        <v>Jun</v>
      </c>
      <c r="P137" s="12">
        <f>YEAR(InputData[[#This Row],[DATE]])</f>
        <v>2021</v>
      </c>
      <c r="Q137" s="12"/>
    </row>
    <row r="138" spans="1:17" x14ac:dyDescent="0.3">
      <c r="A138" s="10">
        <v>44375</v>
      </c>
      <c r="B138" s="11" t="s">
        <v>50</v>
      </c>
      <c r="C138" s="12">
        <v>2</v>
      </c>
      <c r="D138" s="12" t="s">
        <v>106</v>
      </c>
      <c r="E138" s="12" t="s">
        <v>107</v>
      </c>
      <c r="F138" s="13">
        <v>0</v>
      </c>
      <c r="G138" s="12" t="str">
        <f>VLOOKUP(InputData[[#This Row],[PRODUCT ID]],MasterData[],2,0)</f>
        <v>Product21</v>
      </c>
      <c r="H138" s="12" t="str">
        <f>VLOOKUP(InputData[[#This Row],[PRODUCT ID]],MasterData[],3,0)</f>
        <v>Category03</v>
      </c>
      <c r="I138" s="12" t="str">
        <f>VLOOKUP(InputData[[#This Row],[PRODUCT ID]],MasterData[],4,0)</f>
        <v>Ft</v>
      </c>
      <c r="J138" s="14">
        <f>VLOOKUP(InputData[[#This Row],[PRODUCT ID]],MasterData[],5,0)</f>
        <v>126</v>
      </c>
      <c r="K138" s="14">
        <f>VLOOKUP(InputData[[#This Row],[PRODUCT ID]],MasterData[],5,0)</f>
        <v>126</v>
      </c>
      <c r="L138" s="14">
        <f>InputData[[#This Row],[BUYING PRIZE]]*InputData[[#This Row],[QUANTITY]]</f>
        <v>252</v>
      </c>
      <c r="M138" s="14">
        <f>InputData[[#This Row],[SELLING PRICE]]*InputData[[#This Row],[QUANTITY]]*(1-InputData[[#This Row],[DISCOUNT %]])</f>
        <v>252</v>
      </c>
      <c r="N138" s="12">
        <f>DAY(InputData[[#This Row],[DATE]])</f>
        <v>28</v>
      </c>
      <c r="O138" s="12" t="str">
        <f>TEXT(InputData[[#This Row],[DATE]],"mmm")</f>
        <v>Jun</v>
      </c>
      <c r="P138" s="12">
        <f>YEAR(InputData[[#This Row],[DATE]])</f>
        <v>2021</v>
      </c>
      <c r="Q138" s="12"/>
    </row>
    <row r="139" spans="1:17" x14ac:dyDescent="0.3">
      <c r="A139" s="10">
        <v>44375</v>
      </c>
      <c r="B139" s="11" t="s">
        <v>79</v>
      </c>
      <c r="C139" s="12">
        <v>7</v>
      </c>
      <c r="D139" s="12" t="s">
        <v>106</v>
      </c>
      <c r="E139" s="12" t="s">
        <v>106</v>
      </c>
      <c r="F139" s="13">
        <v>0</v>
      </c>
      <c r="G139" s="12" t="str">
        <f>VLOOKUP(InputData[[#This Row],[PRODUCT ID]],MasterData[],2,0)</f>
        <v>Product35</v>
      </c>
      <c r="H139" s="12" t="str">
        <f>VLOOKUP(InputData[[#This Row],[PRODUCT ID]],MasterData[],3,0)</f>
        <v>Category04</v>
      </c>
      <c r="I139" s="12" t="str">
        <f>VLOOKUP(InputData[[#This Row],[PRODUCT ID]],MasterData[],4,0)</f>
        <v>No.</v>
      </c>
      <c r="J139" s="14">
        <f>VLOOKUP(InputData[[#This Row],[PRODUCT ID]],MasterData[],5,0)</f>
        <v>5</v>
      </c>
      <c r="K139" s="14">
        <f>VLOOKUP(InputData[[#This Row],[PRODUCT ID]],MasterData[],5,0)</f>
        <v>5</v>
      </c>
      <c r="L139" s="14">
        <f>InputData[[#This Row],[BUYING PRIZE]]*InputData[[#This Row],[QUANTITY]]</f>
        <v>35</v>
      </c>
      <c r="M139" s="14">
        <f>InputData[[#This Row],[SELLING PRICE]]*InputData[[#This Row],[QUANTITY]]*(1-InputData[[#This Row],[DISCOUNT %]])</f>
        <v>35</v>
      </c>
      <c r="N139" s="12">
        <f>DAY(InputData[[#This Row],[DATE]])</f>
        <v>28</v>
      </c>
      <c r="O139" s="12" t="str">
        <f>TEXT(InputData[[#This Row],[DATE]],"mmm")</f>
        <v>Jun</v>
      </c>
      <c r="P139" s="12">
        <f>YEAR(InputData[[#This Row],[DATE]])</f>
        <v>2021</v>
      </c>
      <c r="Q139" s="12"/>
    </row>
    <row r="140" spans="1:17" x14ac:dyDescent="0.3">
      <c r="A140" s="10">
        <v>44376</v>
      </c>
      <c r="B140" s="11" t="s">
        <v>35</v>
      </c>
      <c r="C140" s="12">
        <v>4</v>
      </c>
      <c r="D140" s="12" t="s">
        <v>108</v>
      </c>
      <c r="E140" s="12" t="s">
        <v>106</v>
      </c>
      <c r="F140" s="13">
        <v>0</v>
      </c>
      <c r="G140" s="12" t="str">
        <f>VLOOKUP(InputData[[#This Row],[PRODUCT ID]],MasterData[],2,0)</f>
        <v>Product14</v>
      </c>
      <c r="H140" s="12" t="str">
        <f>VLOOKUP(InputData[[#This Row],[PRODUCT ID]],MasterData[],3,0)</f>
        <v>Category02</v>
      </c>
      <c r="I140" s="12" t="str">
        <f>VLOOKUP(InputData[[#This Row],[PRODUCT ID]],MasterData[],4,0)</f>
        <v>Kg</v>
      </c>
      <c r="J140" s="14">
        <f>VLOOKUP(InputData[[#This Row],[PRODUCT ID]],MasterData[],5,0)</f>
        <v>112</v>
      </c>
      <c r="K140" s="14">
        <f>VLOOKUP(InputData[[#This Row],[PRODUCT ID]],MasterData[],5,0)</f>
        <v>112</v>
      </c>
      <c r="L140" s="14">
        <f>InputData[[#This Row],[BUYING PRIZE]]*InputData[[#This Row],[QUANTITY]]</f>
        <v>448</v>
      </c>
      <c r="M140" s="14">
        <f>InputData[[#This Row],[SELLING PRICE]]*InputData[[#This Row],[QUANTITY]]*(1-InputData[[#This Row],[DISCOUNT %]])</f>
        <v>448</v>
      </c>
      <c r="N140" s="12">
        <f>DAY(InputData[[#This Row],[DATE]])</f>
        <v>29</v>
      </c>
      <c r="O140" s="12" t="str">
        <f>TEXT(InputData[[#This Row],[DATE]],"mmm")</f>
        <v>Jun</v>
      </c>
      <c r="P140" s="12">
        <f>YEAR(InputData[[#This Row],[DATE]])</f>
        <v>2021</v>
      </c>
      <c r="Q140" s="12"/>
    </row>
    <row r="141" spans="1:17" x14ac:dyDescent="0.3">
      <c r="A141" s="10">
        <v>44378</v>
      </c>
      <c r="B141" s="11" t="s">
        <v>16</v>
      </c>
      <c r="C141" s="12">
        <v>11</v>
      </c>
      <c r="D141" s="12" t="s">
        <v>108</v>
      </c>
      <c r="E141" s="12" t="s">
        <v>107</v>
      </c>
      <c r="F141" s="13">
        <v>0</v>
      </c>
      <c r="G141" s="12" t="str">
        <f>VLOOKUP(InputData[[#This Row],[PRODUCT ID]],MasterData[],2,0)</f>
        <v>Product05</v>
      </c>
      <c r="H141" s="12" t="str">
        <f>VLOOKUP(InputData[[#This Row],[PRODUCT ID]],MasterData[],3,0)</f>
        <v>Category01</v>
      </c>
      <c r="I141" s="12" t="str">
        <f>VLOOKUP(InputData[[#This Row],[PRODUCT ID]],MasterData[],4,0)</f>
        <v>Ft</v>
      </c>
      <c r="J141" s="14">
        <f>VLOOKUP(InputData[[#This Row],[PRODUCT ID]],MasterData[],5,0)</f>
        <v>133</v>
      </c>
      <c r="K141" s="14">
        <f>VLOOKUP(InputData[[#This Row],[PRODUCT ID]],MasterData[],5,0)</f>
        <v>133</v>
      </c>
      <c r="L141" s="14">
        <f>InputData[[#This Row],[BUYING PRIZE]]*InputData[[#This Row],[QUANTITY]]</f>
        <v>1463</v>
      </c>
      <c r="M141" s="14">
        <f>InputData[[#This Row],[SELLING PRICE]]*InputData[[#This Row],[QUANTITY]]*(1-InputData[[#This Row],[DISCOUNT %]])</f>
        <v>1463</v>
      </c>
      <c r="N141" s="12">
        <f>DAY(InputData[[#This Row],[DATE]])</f>
        <v>1</v>
      </c>
      <c r="O141" s="12" t="str">
        <f>TEXT(InputData[[#This Row],[DATE]],"mmm")</f>
        <v>Jul</v>
      </c>
      <c r="P141" s="12">
        <f>YEAR(InputData[[#This Row],[DATE]])</f>
        <v>2021</v>
      </c>
      <c r="Q141" s="12"/>
    </row>
    <row r="142" spans="1:17" x14ac:dyDescent="0.3">
      <c r="A142" s="10">
        <v>44379</v>
      </c>
      <c r="B142" s="11" t="s">
        <v>26</v>
      </c>
      <c r="C142" s="12">
        <v>11</v>
      </c>
      <c r="D142" s="12" t="s">
        <v>108</v>
      </c>
      <c r="E142" s="12" t="s">
        <v>107</v>
      </c>
      <c r="F142" s="13">
        <v>0</v>
      </c>
      <c r="G142" s="12" t="str">
        <f>VLOOKUP(InputData[[#This Row],[PRODUCT ID]],MasterData[],2,0)</f>
        <v>Product10</v>
      </c>
      <c r="H142" s="12" t="str">
        <f>VLOOKUP(InputData[[#This Row],[PRODUCT ID]],MasterData[],3,0)</f>
        <v>Category02</v>
      </c>
      <c r="I142" s="12" t="str">
        <f>VLOOKUP(InputData[[#This Row],[PRODUCT ID]],MasterData[],4,0)</f>
        <v>Ft</v>
      </c>
      <c r="J142" s="14">
        <f>VLOOKUP(InputData[[#This Row],[PRODUCT ID]],MasterData[],5,0)</f>
        <v>148</v>
      </c>
      <c r="K142" s="14">
        <f>VLOOKUP(InputData[[#This Row],[PRODUCT ID]],MasterData[],5,0)</f>
        <v>148</v>
      </c>
      <c r="L142" s="14">
        <f>InputData[[#This Row],[BUYING PRIZE]]*InputData[[#This Row],[QUANTITY]]</f>
        <v>1628</v>
      </c>
      <c r="M142" s="14">
        <f>InputData[[#This Row],[SELLING PRICE]]*InputData[[#This Row],[QUANTITY]]*(1-InputData[[#This Row],[DISCOUNT %]])</f>
        <v>1628</v>
      </c>
      <c r="N142" s="12">
        <f>DAY(InputData[[#This Row],[DATE]])</f>
        <v>2</v>
      </c>
      <c r="O142" s="12" t="str">
        <f>TEXT(InputData[[#This Row],[DATE]],"mmm")</f>
        <v>Jul</v>
      </c>
      <c r="P142" s="12">
        <f>YEAR(InputData[[#This Row],[DATE]])</f>
        <v>2021</v>
      </c>
      <c r="Q142" s="12"/>
    </row>
    <row r="143" spans="1:17" x14ac:dyDescent="0.3">
      <c r="A143" s="10">
        <v>44380</v>
      </c>
      <c r="B143" s="11" t="s">
        <v>75</v>
      </c>
      <c r="C143" s="12">
        <v>9</v>
      </c>
      <c r="D143" s="12" t="s">
        <v>106</v>
      </c>
      <c r="E143" s="12" t="s">
        <v>107</v>
      </c>
      <c r="F143" s="13">
        <v>0</v>
      </c>
      <c r="G143" s="12" t="str">
        <f>VLOOKUP(InputData[[#This Row],[PRODUCT ID]],MasterData[],2,0)</f>
        <v>Product33</v>
      </c>
      <c r="H143" s="12" t="str">
        <f>VLOOKUP(InputData[[#This Row],[PRODUCT ID]],MasterData[],3,0)</f>
        <v>Category04</v>
      </c>
      <c r="I143" s="12" t="str">
        <f>VLOOKUP(InputData[[#This Row],[PRODUCT ID]],MasterData[],4,0)</f>
        <v>Kg</v>
      </c>
      <c r="J143" s="14">
        <f>VLOOKUP(InputData[[#This Row],[PRODUCT ID]],MasterData[],5,0)</f>
        <v>95</v>
      </c>
      <c r="K143" s="14">
        <f>VLOOKUP(InputData[[#This Row],[PRODUCT ID]],MasterData[],5,0)</f>
        <v>95</v>
      </c>
      <c r="L143" s="14">
        <f>InputData[[#This Row],[BUYING PRIZE]]*InputData[[#This Row],[QUANTITY]]</f>
        <v>855</v>
      </c>
      <c r="M143" s="14">
        <f>InputData[[#This Row],[SELLING PRICE]]*InputData[[#This Row],[QUANTITY]]*(1-InputData[[#This Row],[DISCOUNT %]])</f>
        <v>855</v>
      </c>
      <c r="N143" s="12">
        <f>DAY(InputData[[#This Row],[DATE]])</f>
        <v>3</v>
      </c>
      <c r="O143" s="12" t="str">
        <f>TEXT(InputData[[#This Row],[DATE]],"mmm")</f>
        <v>Jul</v>
      </c>
      <c r="P143" s="12">
        <f>YEAR(InputData[[#This Row],[DATE]])</f>
        <v>2021</v>
      </c>
      <c r="Q143" s="12"/>
    </row>
    <row r="144" spans="1:17" x14ac:dyDescent="0.3">
      <c r="A144" s="10">
        <v>44380</v>
      </c>
      <c r="B144" s="11" t="s">
        <v>12</v>
      </c>
      <c r="C144" s="12">
        <v>8</v>
      </c>
      <c r="D144" s="12" t="s">
        <v>106</v>
      </c>
      <c r="E144" s="12" t="s">
        <v>107</v>
      </c>
      <c r="F144" s="13">
        <v>0</v>
      </c>
      <c r="G144" s="12" t="str">
        <f>VLOOKUP(InputData[[#This Row],[PRODUCT ID]],MasterData[],2,0)</f>
        <v>Product03</v>
      </c>
      <c r="H144" s="12" t="str">
        <f>VLOOKUP(InputData[[#This Row],[PRODUCT ID]],MasterData[],3,0)</f>
        <v>Category01</v>
      </c>
      <c r="I144" s="12" t="str">
        <f>VLOOKUP(InputData[[#This Row],[PRODUCT ID]],MasterData[],4,0)</f>
        <v>Kg</v>
      </c>
      <c r="J144" s="14">
        <f>VLOOKUP(InputData[[#This Row],[PRODUCT ID]],MasterData[],5,0)</f>
        <v>71</v>
      </c>
      <c r="K144" s="14">
        <f>VLOOKUP(InputData[[#This Row],[PRODUCT ID]],MasterData[],5,0)</f>
        <v>71</v>
      </c>
      <c r="L144" s="14">
        <f>InputData[[#This Row],[BUYING PRIZE]]*InputData[[#This Row],[QUANTITY]]</f>
        <v>568</v>
      </c>
      <c r="M144" s="14">
        <f>InputData[[#This Row],[SELLING PRICE]]*InputData[[#This Row],[QUANTITY]]*(1-InputData[[#This Row],[DISCOUNT %]])</f>
        <v>568</v>
      </c>
      <c r="N144" s="12">
        <f>DAY(InputData[[#This Row],[DATE]])</f>
        <v>3</v>
      </c>
      <c r="O144" s="12" t="str">
        <f>TEXT(InputData[[#This Row],[DATE]],"mmm")</f>
        <v>Jul</v>
      </c>
      <c r="P144" s="12">
        <f>YEAR(InputData[[#This Row],[DATE]])</f>
        <v>2021</v>
      </c>
      <c r="Q144" s="12"/>
    </row>
    <row r="145" spans="1:17" x14ac:dyDescent="0.3">
      <c r="A145" s="10">
        <v>44382</v>
      </c>
      <c r="B145" s="11" t="s">
        <v>10</v>
      </c>
      <c r="C145" s="12">
        <v>8</v>
      </c>
      <c r="D145" s="12" t="s">
        <v>108</v>
      </c>
      <c r="E145" s="12" t="s">
        <v>106</v>
      </c>
      <c r="F145" s="13">
        <v>0</v>
      </c>
      <c r="G145" s="12" t="str">
        <f>VLOOKUP(InputData[[#This Row],[PRODUCT ID]],MasterData[],2,0)</f>
        <v>Product02</v>
      </c>
      <c r="H145" s="12" t="str">
        <f>VLOOKUP(InputData[[#This Row],[PRODUCT ID]],MasterData[],3,0)</f>
        <v>Category01</v>
      </c>
      <c r="I145" s="12" t="str">
        <f>VLOOKUP(InputData[[#This Row],[PRODUCT ID]],MasterData[],4,0)</f>
        <v>Kg</v>
      </c>
      <c r="J145" s="14">
        <f>VLOOKUP(InputData[[#This Row],[PRODUCT ID]],MasterData[],5,0)</f>
        <v>105</v>
      </c>
      <c r="K145" s="14">
        <f>VLOOKUP(InputData[[#This Row],[PRODUCT ID]],MasterData[],5,0)</f>
        <v>105</v>
      </c>
      <c r="L145" s="14">
        <f>InputData[[#This Row],[BUYING PRIZE]]*InputData[[#This Row],[QUANTITY]]</f>
        <v>840</v>
      </c>
      <c r="M145" s="14">
        <f>InputData[[#This Row],[SELLING PRICE]]*InputData[[#This Row],[QUANTITY]]*(1-InputData[[#This Row],[DISCOUNT %]])</f>
        <v>840</v>
      </c>
      <c r="N145" s="12">
        <f>DAY(InputData[[#This Row],[DATE]])</f>
        <v>5</v>
      </c>
      <c r="O145" s="12" t="str">
        <f>TEXT(InputData[[#This Row],[DATE]],"mmm")</f>
        <v>Jul</v>
      </c>
      <c r="P145" s="12">
        <f>YEAR(InputData[[#This Row],[DATE]])</f>
        <v>2021</v>
      </c>
      <c r="Q145" s="12"/>
    </row>
    <row r="146" spans="1:17" x14ac:dyDescent="0.3">
      <c r="A146" s="10">
        <v>44383</v>
      </c>
      <c r="B146" s="11" t="s">
        <v>92</v>
      </c>
      <c r="C146" s="12">
        <v>15</v>
      </c>
      <c r="D146" s="12" t="s">
        <v>108</v>
      </c>
      <c r="E146" s="12" t="s">
        <v>107</v>
      </c>
      <c r="F146" s="13">
        <v>0</v>
      </c>
      <c r="G146" s="12" t="str">
        <f>VLOOKUP(InputData[[#This Row],[PRODUCT ID]],MasterData[],2,0)</f>
        <v>Product41</v>
      </c>
      <c r="H146" s="12" t="str">
        <f>VLOOKUP(InputData[[#This Row],[PRODUCT ID]],MasterData[],3,0)</f>
        <v>Category05</v>
      </c>
      <c r="I146" s="12" t="str">
        <f>VLOOKUP(InputData[[#This Row],[PRODUCT ID]],MasterData[],4,0)</f>
        <v>Ft</v>
      </c>
      <c r="J146" s="14">
        <f>VLOOKUP(InputData[[#This Row],[PRODUCT ID]],MasterData[],5,0)</f>
        <v>138</v>
      </c>
      <c r="K146" s="14">
        <f>VLOOKUP(InputData[[#This Row],[PRODUCT ID]],MasterData[],5,0)</f>
        <v>138</v>
      </c>
      <c r="L146" s="14">
        <f>InputData[[#This Row],[BUYING PRIZE]]*InputData[[#This Row],[QUANTITY]]</f>
        <v>2070</v>
      </c>
      <c r="M146" s="14">
        <f>InputData[[#This Row],[SELLING PRICE]]*InputData[[#This Row],[QUANTITY]]*(1-InputData[[#This Row],[DISCOUNT %]])</f>
        <v>2070</v>
      </c>
      <c r="N146" s="12">
        <f>DAY(InputData[[#This Row],[DATE]])</f>
        <v>6</v>
      </c>
      <c r="O146" s="12" t="str">
        <f>TEXT(InputData[[#This Row],[DATE]],"mmm")</f>
        <v>Jul</v>
      </c>
      <c r="P146" s="12">
        <f>YEAR(InputData[[#This Row],[DATE]])</f>
        <v>2021</v>
      </c>
      <c r="Q146" s="12"/>
    </row>
    <row r="147" spans="1:17" x14ac:dyDescent="0.3">
      <c r="A147" s="10">
        <v>44385</v>
      </c>
      <c r="B147" s="11" t="s">
        <v>14</v>
      </c>
      <c r="C147" s="12">
        <v>10</v>
      </c>
      <c r="D147" s="12" t="s">
        <v>108</v>
      </c>
      <c r="E147" s="12" t="s">
        <v>106</v>
      </c>
      <c r="F147" s="13">
        <v>0</v>
      </c>
      <c r="G147" s="12" t="str">
        <f>VLOOKUP(InputData[[#This Row],[PRODUCT ID]],MasterData[],2,0)</f>
        <v>Product04</v>
      </c>
      <c r="H147" s="12" t="str">
        <f>VLOOKUP(InputData[[#This Row],[PRODUCT ID]],MasterData[],3,0)</f>
        <v>Category01</v>
      </c>
      <c r="I147" s="12" t="str">
        <f>VLOOKUP(InputData[[#This Row],[PRODUCT ID]],MasterData[],4,0)</f>
        <v>Lt</v>
      </c>
      <c r="J147" s="14">
        <f>VLOOKUP(InputData[[#This Row],[PRODUCT ID]],MasterData[],5,0)</f>
        <v>44</v>
      </c>
      <c r="K147" s="14">
        <f>VLOOKUP(InputData[[#This Row],[PRODUCT ID]],MasterData[],5,0)</f>
        <v>44</v>
      </c>
      <c r="L147" s="14">
        <f>InputData[[#This Row],[BUYING PRIZE]]*InputData[[#This Row],[QUANTITY]]</f>
        <v>440</v>
      </c>
      <c r="M147" s="14">
        <f>InputData[[#This Row],[SELLING PRICE]]*InputData[[#This Row],[QUANTITY]]*(1-InputData[[#This Row],[DISCOUNT %]])</f>
        <v>440</v>
      </c>
      <c r="N147" s="12">
        <f>DAY(InputData[[#This Row],[DATE]])</f>
        <v>8</v>
      </c>
      <c r="O147" s="12" t="str">
        <f>TEXT(InputData[[#This Row],[DATE]],"mmm")</f>
        <v>Jul</v>
      </c>
      <c r="P147" s="12">
        <f>YEAR(InputData[[#This Row],[DATE]])</f>
        <v>2021</v>
      </c>
      <c r="Q147" s="12"/>
    </row>
    <row r="148" spans="1:17" x14ac:dyDescent="0.3">
      <c r="A148" s="10">
        <v>44387</v>
      </c>
      <c r="B148" s="11" t="s">
        <v>77</v>
      </c>
      <c r="C148" s="12">
        <v>6</v>
      </c>
      <c r="D148" s="12" t="s">
        <v>105</v>
      </c>
      <c r="E148" s="12" t="s">
        <v>107</v>
      </c>
      <c r="F148" s="13">
        <v>0</v>
      </c>
      <c r="G148" s="12" t="str">
        <f>VLOOKUP(InputData[[#This Row],[PRODUCT ID]],MasterData[],2,0)</f>
        <v>Product34</v>
      </c>
      <c r="H148" s="12" t="str">
        <f>VLOOKUP(InputData[[#This Row],[PRODUCT ID]],MasterData[],3,0)</f>
        <v>Category04</v>
      </c>
      <c r="I148" s="12" t="str">
        <f>VLOOKUP(InputData[[#This Row],[PRODUCT ID]],MasterData[],4,0)</f>
        <v>Lt</v>
      </c>
      <c r="J148" s="14">
        <f>VLOOKUP(InputData[[#This Row],[PRODUCT ID]],MasterData[],5,0)</f>
        <v>55</v>
      </c>
      <c r="K148" s="14">
        <f>VLOOKUP(InputData[[#This Row],[PRODUCT ID]],MasterData[],5,0)</f>
        <v>55</v>
      </c>
      <c r="L148" s="14">
        <f>InputData[[#This Row],[BUYING PRIZE]]*InputData[[#This Row],[QUANTITY]]</f>
        <v>330</v>
      </c>
      <c r="M148" s="14">
        <f>InputData[[#This Row],[SELLING PRICE]]*InputData[[#This Row],[QUANTITY]]*(1-InputData[[#This Row],[DISCOUNT %]])</f>
        <v>330</v>
      </c>
      <c r="N148" s="12">
        <f>DAY(InputData[[#This Row],[DATE]])</f>
        <v>10</v>
      </c>
      <c r="O148" s="12" t="str">
        <f>TEXT(InputData[[#This Row],[DATE]],"mmm")</f>
        <v>Jul</v>
      </c>
      <c r="P148" s="12">
        <f>YEAR(InputData[[#This Row],[DATE]])</f>
        <v>2021</v>
      </c>
      <c r="Q148" s="12"/>
    </row>
    <row r="149" spans="1:17" x14ac:dyDescent="0.3">
      <c r="A149" s="10">
        <v>44388</v>
      </c>
      <c r="B149" s="11" t="s">
        <v>24</v>
      </c>
      <c r="C149" s="12">
        <v>4</v>
      </c>
      <c r="D149" s="12" t="s">
        <v>105</v>
      </c>
      <c r="E149" s="12" t="s">
        <v>106</v>
      </c>
      <c r="F149" s="13">
        <v>0</v>
      </c>
      <c r="G149" s="12" t="str">
        <f>VLOOKUP(InputData[[#This Row],[PRODUCT ID]],MasterData[],2,0)</f>
        <v>Product09</v>
      </c>
      <c r="H149" s="12" t="str">
        <f>VLOOKUP(InputData[[#This Row],[PRODUCT ID]],MasterData[],3,0)</f>
        <v>Category01</v>
      </c>
      <c r="I149" s="12" t="str">
        <f>VLOOKUP(InputData[[#This Row],[PRODUCT ID]],MasterData[],4,0)</f>
        <v>No.</v>
      </c>
      <c r="J149" s="14">
        <f>VLOOKUP(InputData[[#This Row],[PRODUCT ID]],MasterData[],5,0)</f>
        <v>6</v>
      </c>
      <c r="K149" s="14">
        <f>VLOOKUP(InputData[[#This Row],[PRODUCT ID]],MasterData[],5,0)</f>
        <v>6</v>
      </c>
      <c r="L149" s="14">
        <f>InputData[[#This Row],[BUYING PRIZE]]*InputData[[#This Row],[QUANTITY]]</f>
        <v>24</v>
      </c>
      <c r="M149" s="14">
        <f>InputData[[#This Row],[SELLING PRICE]]*InputData[[#This Row],[QUANTITY]]*(1-InputData[[#This Row],[DISCOUNT %]])</f>
        <v>24</v>
      </c>
      <c r="N149" s="12">
        <f>DAY(InputData[[#This Row],[DATE]])</f>
        <v>11</v>
      </c>
      <c r="O149" s="12" t="str">
        <f>TEXT(InputData[[#This Row],[DATE]],"mmm")</f>
        <v>Jul</v>
      </c>
      <c r="P149" s="12">
        <f>YEAR(InputData[[#This Row],[DATE]])</f>
        <v>2021</v>
      </c>
      <c r="Q149" s="12"/>
    </row>
    <row r="150" spans="1:17" x14ac:dyDescent="0.3">
      <c r="A150" s="10">
        <v>44390</v>
      </c>
      <c r="B150" s="11" t="s">
        <v>45</v>
      </c>
      <c r="C150" s="12">
        <v>1</v>
      </c>
      <c r="D150" s="12" t="s">
        <v>108</v>
      </c>
      <c r="E150" s="12" t="s">
        <v>107</v>
      </c>
      <c r="F150" s="13">
        <v>0</v>
      </c>
      <c r="G150" s="12" t="str">
        <f>VLOOKUP(InputData[[#This Row],[PRODUCT ID]],MasterData[],2,0)</f>
        <v>Product19</v>
      </c>
      <c r="H150" s="12" t="str">
        <f>VLOOKUP(InputData[[#This Row],[PRODUCT ID]],MasterData[],3,0)</f>
        <v>Category02</v>
      </c>
      <c r="I150" s="12" t="str">
        <f>VLOOKUP(InputData[[#This Row],[PRODUCT ID]],MasterData[],4,0)</f>
        <v>Ft</v>
      </c>
      <c r="J150" s="14">
        <f>VLOOKUP(InputData[[#This Row],[PRODUCT ID]],MasterData[],5,0)</f>
        <v>150</v>
      </c>
      <c r="K150" s="14">
        <f>VLOOKUP(InputData[[#This Row],[PRODUCT ID]],MasterData[],5,0)</f>
        <v>150</v>
      </c>
      <c r="L150" s="14">
        <f>InputData[[#This Row],[BUYING PRIZE]]*InputData[[#This Row],[QUANTITY]]</f>
        <v>150</v>
      </c>
      <c r="M150" s="14">
        <f>InputData[[#This Row],[SELLING PRICE]]*InputData[[#This Row],[QUANTITY]]*(1-InputData[[#This Row],[DISCOUNT %]])</f>
        <v>150</v>
      </c>
      <c r="N150" s="12">
        <f>DAY(InputData[[#This Row],[DATE]])</f>
        <v>13</v>
      </c>
      <c r="O150" s="12" t="str">
        <f>TEXT(InputData[[#This Row],[DATE]],"mmm")</f>
        <v>Jul</v>
      </c>
      <c r="P150" s="12">
        <f>YEAR(InputData[[#This Row],[DATE]])</f>
        <v>2021</v>
      </c>
      <c r="Q150" s="12"/>
    </row>
    <row r="151" spans="1:17" x14ac:dyDescent="0.3">
      <c r="A151" s="10">
        <v>44393</v>
      </c>
      <c r="B151" s="11" t="s">
        <v>54</v>
      </c>
      <c r="C151" s="12">
        <v>8</v>
      </c>
      <c r="D151" s="12" t="s">
        <v>105</v>
      </c>
      <c r="E151" s="12" t="s">
        <v>107</v>
      </c>
      <c r="F151" s="13">
        <v>0</v>
      </c>
      <c r="G151" s="12" t="str">
        <f>VLOOKUP(InputData[[#This Row],[PRODUCT ID]],MasterData[],2,0)</f>
        <v>Product23</v>
      </c>
      <c r="H151" s="12" t="str">
        <f>VLOOKUP(InputData[[#This Row],[PRODUCT ID]],MasterData[],3,0)</f>
        <v>Category03</v>
      </c>
      <c r="I151" s="12" t="str">
        <f>VLOOKUP(InputData[[#This Row],[PRODUCT ID]],MasterData[],4,0)</f>
        <v>Ft</v>
      </c>
      <c r="J151" s="14">
        <f>VLOOKUP(InputData[[#This Row],[PRODUCT ID]],MasterData[],5,0)</f>
        <v>141</v>
      </c>
      <c r="K151" s="14">
        <f>VLOOKUP(InputData[[#This Row],[PRODUCT ID]],MasterData[],5,0)</f>
        <v>141</v>
      </c>
      <c r="L151" s="14">
        <f>InputData[[#This Row],[BUYING PRIZE]]*InputData[[#This Row],[QUANTITY]]</f>
        <v>1128</v>
      </c>
      <c r="M151" s="14">
        <f>InputData[[#This Row],[SELLING PRICE]]*InputData[[#This Row],[QUANTITY]]*(1-InputData[[#This Row],[DISCOUNT %]])</f>
        <v>1128</v>
      </c>
      <c r="N151" s="12">
        <f>DAY(InputData[[#This Row],[DATE]])</f>
        <v>16</v>
      </c>
      <c r="O151" s="12" t="str">
        <f>TEXT(InputData[[#This Row],[DATE]],"mmm")</f>
        <v>Jul</v>
      </c>
      <c r="P151" s="12">
        <f>YEAR(InputData[[#This Row],[DATE]])</f>
        <v>2021</v>
      </c>
      <c r="Q151" s="12"/>
    </row>
    <row r="152" spans="1:17" x14ac:dyDescent="0.3">
      <c r="A152" s="10">
        <v>44395</v>
      </c>
      <c r="B152" s="11" t="s">
        <v>63</v>
      </c>
      <c r="C152" s="12">
        <v>14</v>
      </c>
      <c r="D152" s="12" t="s">
        <v>106</v>
      </c>
      <c r="E152" s="12" t="s">
        <v>106</v>
      </c>
      <c r="F152" s="13">
        <v>0</v>
      </c>
      <c r="G152" s="12" t="str">
        <f>VLOOKUP(InputData[[#This Row],[PRODUCT ID]],MasterData[],2,0)</f>
        <v>Product27</v>
      </c>
      <c r="H152" s="12" t="str">
        <f>VLOOKUP(InputData[[#This Row],[PRODUCT ID]],MasterData[],3,0)</f>
        <v>Category04</v>
      </c>
      <c r="I152" s="12" t="str">
        <f>VLOOKUP(InputData[[#This Row],[PRODUCT ID]],MasterData[],4,0)</f>
        <v>Lt</v>
      </c>
      <c r="J152" s="14">
        <f>VLOOKUP(InputData[[#This Row],[PRODUCT ID]],MasterData[],5,0)</f>
        <v>48</v>
      </c>
      <c r="K152" s="14">
        <f>VLOOKUP(InputData[[#This Row],[PRODUCT ID]],MasterData[],5,0)</f>
        <v>48</v>
      </c>
      <c r="L152" s="14">
        <f>InputData[[#This Row],[BUYING PRIZE]]*InputData[[#This Row],[QUANTITY]]</f>
        <v>672</v>
      </c>
      <c r="M152" s="14">
        <f>InputData[[#This Row],[SELLING PRICE]]*InputData[[#This Row],[QUANTITY]]*(1-InputData[[#This Row],[DISCOUNT %]])</f>
        <v>672</v>
      </c>
      <c r="N152" s="12">
        <f>DAY(InputData[[#This Row],[DATE]])</f>
        <v>18</v>
      </c>
      <c r="O152" s="12" t="str">
        <f>TEXT(InputData[[#This Row],[DATE]],"mmm")</f>
        <v>Jul</v>
      </c>
      <c r="P152" s="12">
        <f>YEAR(InputData[[#This Row],[DATE]])</f>
        <v>2021</v>
      </c>
      <c r="Q152" s="12"/>
    </row>
    <row r="153" spans="1:17" x14ac:dyDescent="0.3">
      <c r="A153" s="10">
        <v>44397</v>
      </c>
      <c r="B153" s="11" t="s">
        <v>86</v>
      </c>
      <c r="C153" s="12">
        <v>11</v>
      </c>
      <c r="D153" s="12" t="s">
        <v>106</v>
      </c>
      <c r="E153" s="12" t="s">
        <v>106</v>
      </c>
      <c r="F153" s="13">
        <v>0</v>
      </c>
      <c r="G153" s="12" t="str">
        <f>VLOOKUP(InputData[[#This Row],[PRODUCT ID]],MasterData[],2,0)</f>
        <v>Product38</v>
      </c>
      <c r="H153" s="12" t="str">
        <f>VLOOKUP(InputData[[#This Row],[PRODUCT ID]],MasterData[],3,0)</f>
        <v>Category05</v>
      </c>
      <c r="I153" s="12" t="str">
        <f>VLOOKUP(InputData[[#This Row],[PRODUCT ID]],MasterData[],4,0)</f>
        <v>Kg</v>
      </c>
      <c r="J153" s="14">
        <f>VLOOKUP(InputData[[#This Row],[PRODUCT ID]],MasterData[],5,0)</f>
        <v>72</v>
      </c>
      <c r="K153" s="14">
        <f>VLOOKUP(InputData[[#This Row],[PRODUCT ID]],MasterData[],5,0)</f>
        <v>72</v>
      </c>
      <c r="L153" s="14">
        <f>InputData[[#This Row],[BUYING PRIZE]]*InputData[[#This Row],[QUANTITY]]</f>
        <v>792</v>
      </c>
      <c r="M153" s="14">
        <f>InputData[[#This Row],[SELLING PRICE]]*InputData[[#This Row],[QUANTITY]]*(1-InputData[[#This Row],[DISCOUNT %]])</f>
        <v>792</v>
      </c>
      <c r="N153" s="12">
        <f>DAY(InputData[[#This Row],[DATE]])</f>
        <v>20</v>
      </c>
      <c r="O153" s="12" t="str">
        <f>TEXT(InputData[[#This Row],[DATE]],"mmm")</f>
        <v>Jul</v>
      </c>
      <c r="P153" s="12">
        <f>YEAR(InputData[[#This Row],[DATE]])</f>
        <v>2021</v>
      </c>
      <c r="Q153" s="12"/>
    </row>
    <row r="154" spans="1:17" x14ac:dyDescent="0.3">
      <c r="A154" s="10">
        <v>44397</v>
      </c>
      <c r="B154" s="11" t="s">
        <v>96</v>
      </c>
      <c r="C154" s="12">
        <v>5</v>
      </c>
      <c r="D154" s="12" t="s">
        <v>108</v>
      </c>
      <c r="E154" s="12" t="s">
        <v>106</v>
      </c>
      <c r="F154" s="13">
        <v>0</v>
      </c>
      <c r="G154" s="12" t="str">
        <f>VLOOKUP(InputData[[#This Row],[PRODUCT ID]],MasterData[],2,0)</f>
        <v>Product43</v>
      </c>
      <c r="H154" s="12" t="str">
        <f>VLOOKUP(InputData[[#This Row],[PRODUCT ID]],MasterData[],3,0)</f>
        <v>Category05</v>
      </c>
      <c r="I154" s="12" t="str">
        <f>VLOOKUP(InputData[[#This Row],[PRODUCT ID]],MasterData[],4,0)</f>
        <v>Kg</v>
      </c>
      <c r="J154" s="14">
        <f>VLOOKUP(InputData[[#This Row],[PRODUCT ID]],MasterData[],5,0)</f>
        <v>67</v>
      </c>
      <c r="K154" s="14">
        <f>VLOOKUP(InputData[[#This Row],[PRODUCT ID]],MasterData[],5,0)</f>
        <v>67</v>
      </c>
      <c r="L154" s="14">
        <f>InputData[[#This Row],[BUYING PRIZE]]*InputData[[#This Row],[QUANTITY]]</f>
        <v>335</v>
      </c>
      <c r="M154" s="14">
        <f>InputData[[#This Row],[SELLING PRICE]]*InputData[[#This Row],[QUANTITY]]*(1-InputData[[#This Row],[DISCOUNT %]])</f>
        <v>335</v>
      </c>
      <c r="N154" s="12">
        <f>DAY(InputData[[#This Row],[DATE]])</f>
        <v>20</v>
      </c>
      <c r="O154" s="12" t="str">
        <f>TEXT(InputData[[#This Row],[DATE]],"mmm")</f>
        <v>Jul</v>
      </c>
      <c r="P154" s="12">
        <f>YEAR(InputData[[#This Row],[DATE]])</f>
        <v>2021</v>
      </c>
      <c r="Q154" s="12"/>
    </row>
    <row r="155" spans="1:17" x14ac:dyDescent="0.3">
      <c r="A155" s="10">
        <v>44398</v>
      </c>
      <c r="B155" s="11" t="s">
        <v>67</v>
      </c>
      <c r="C155" s="12">
        <v>15</v>
      </c>
      <c r="D155" s="12" t="s">
        <v>108</v>
      </c>
      <c r="E155" s="12" t="s">
        <v>106</v>
      </c>
      <c r="F155" s="13">
        <v>0</v>
      </c>
      <c r="G155" s="12" t="str">
        <f>VLOOKUP(InputData[[#This Row],[PRODUCT ID]],MasterData[],2,0)</f>
        <v>Product29</v>
      </c>
      <c r="H155" s="12" t="str">
        <f>VLOOKUP(InputData[[#This Row],[PRODUCT ID]],MasterData[],3,0)</f>
        <v>Category04</v>
      </c>
      <c r="I155" s="12" t="str">
        <f>VLOOKUP(InputData[[#This Row],[PRODUCT ID]],MasterData[],4,0)</f>
        <v>Lt</v>
      </c>
      <c r="J155" s="14">
        <f>VLOOKUP(InputData[[#This Row],[PRODUCT ID]],MasterData[],5,0)</f>
        <v>47</v>
      </c>
      <c r="K155" s="14">
        <f>VLOOKUP(InputData[[#This Row],[PRODUCT ID]],MasterData[],5,0)</f>
        <v>47</v>
      </c>
      <c r="L155" s="14">
        <f>InputData[[#This Row],[BUYING PRIZE]]*InputData[[#This Row],[QUANTITY]]</f>
        <v>705</v>
      </c>
      <c r="M155" s="14">
        <f>InputData[[#This Row],[SELLING PRICE]]*InputData[[#This Row],[QUANTITY]]*(1-InputData[[#This Row],[DISCOUNT %]])</f>
        <v>705</v>
      </c>
      <c r="N155" s="12">
        <f>DAY(InputData[[#This Row],[DATE]])</f>
        <v>21</v>
      </c>
      <c r="O155" s="12" t="str">
        <f>TEXT(InputData[[#This Row],[DATE]],"mmm")</f>
        <v>Jul</v>
      </c>
      <c r="P155" s="12">
        <f>YEAR(InputData[[#This Row],[DATE]])</f>
        <v>2021</v>
      </c>
      <c r="Q155" s="12"/>
    </row>
    <row r="156" spans="1:17" x14ac:dyDescent="0.3">
      <c r="A156" s="10">
        <v>44399</v>
      </c>
      <c r="B156" s="11" t="s">
        <v>60</v>
      </c>
      <c r="C156" s="12">
        <v>3</v>
      </c>
      <c r="D156" s="12" t="s">
        <v>105</v>
      </c>
      <c r="E156" s="12" t="s">
        <v>107</v>
      </c>
      <c r="F156" s="13">
        <v>0</v>
      </c>
      <c r="G156" s="12" t="str">
        <f>VLOOKUP(InputData[[#This Row],[PRODUCT ID]],MasterData[],2,0)</f>
        <v>Product26</v>
      </c>
      <c r="H156" s="12" t="str">
        <f>VLOOKUP(InputData[[#This Row],[PRODUCT ID]],MasterData[],3,0)</f>
        <v>Category04</v>
      </c>
      <c r="I156" s="12" t="str">
        <f>VLOOKUP(InputData[[#This Row],[PRODUCT ID]],MasterData[],4,0)</f>
        <v>No.</v>
      </c>
      <c r="J156" s="14">
        <f>VLOOKUP(InputData[[#This Row],[PRODUCT ID]],MasterData[],5,0)</f>
        <v>18</v>
      </c>
      <c r="K156" s="14">
        <f>VLOOKUP(InputData[[#This Row],[PRODUCT ID]],MasterData[],5,0)</f>
        <v>18</v>
      </c>
      <c r="L156" s="14">
        <f>InputData[[#This Row],[BUYING PRIZE]]*InputData[[#This Row],[QUANTITY]]</f>
        <v>54</v>
      </c>
      <c r="M156" s="14">
        <f>InputData[[#This Row],[SELLING PRICE]]*InputData[[#This Row],[QUANTITY]]*(1-InputData[[#This Row],[DISCOUNT %]])</f>
        <v>54</v>
      </c>
      <c r="N156" s="12">
        <f>DAY(InputData[[#This Row],[DATE]])</f>
        <v>22</v>
      </c>
      <c r="O156" s="12" t="str">
        <f>TEXT(InputData[[#This Row],[DATE]],"mmm")</f>
        <v>Jul</v>
      </c>
      <c r="P156" s="12">
        <f>YEAR(InputData[[#This Row],[DATE]])</f>
        <v>2021</v>
      </c>
      <c r="Q156" s="12"/>
    </row>
    <row r="157" spans="1:17" x14ac:dyDescent="0.3">
      <c r="A157" s="10">
        <v>44399</v>
      </c>
      <c r="B157" s="11" t="s">
        <v>56</v>
      </c>
      <c r="C157" s="12">
        <v>14</v>
      </c>
      <c r="D157" s="12" t="s">
        <v>106</v>
      </c>
      <c r="E157" s="12" t="s">
        <v>107</v>
      </c>
      <c r="F157" s="13">
        <v>0</v>
      </c>
      <c r="G157" s="12" t="str">
        <f>VLOOKUP(InputData[[#This Row],[PRODUCT ID]],MasterData[],2,0)</f>
        <v>Product24</v>
      </c>
      <c r="H157" s="12" t="str">
        <f>VLOOKUP(InputData[[#This Row],[PRODUCT ID]],MasterData[],3,0)</f>
        <v>Category03</v>
      </c>
      <c r="I157" s="12" t="str">
        <f>VLOOKUP(InputData[[#This Row],[PRODUCT ID]],MasterData[],4,0)</f>
        <v>Ft</v>
      </c>
      <c r="J157" s="14">
        <f>VLOOKUP(InputData[[#This Row],[PRODUCT ID]],MasterData[],5,0)</f>
        <v>144</v>
      </c>
      <c r="K157" s="14">
        <f>VLOOKUP(InputData[[#This Row],[PRODUCT ID]],MasterData[],5,0)</f>
        <v>144</v>
      </c>
      <c r="L157" s="14">
        <f>InputData[[#This Row],[BUYING PRIZE]]*InputData[[#This Row],[QUANTITY]]</f>
        <v>2016</v>
      </c>
      <c r="M157" s="14">
        <f>InputData[[#This Row],[SELLING PRICE]]*InputData[[#This Row],[QUANTITY]]*(1-InputData[[#This Row],[DISCOUNT %]])</f>
        <v>2016</v>
      </c>
      <c r="N157" s="12">
        <f>DAY(InputData[[#This Row],[DATE]])</f>
        <v>22</v>
      </c>
      <c r="O157" s="12" t="str">
        <f>TEXT(InputData[[#This Row],[DATE]],"mmm")</f>
        <v>Jul</v>
      </c>
      <c r="P157" s="12">
        <f>YEAR(InputData[[#This Row],[DATE]])</f>
        <v>2021</v>
      </c>
      <c r="Q157" s="12"/>
    </row>
    <row r="158" spans="1:17" x14ac:dyDescent="0.3">
      <c r="A158" s="10">
        <v>44400</v>
      </c>
      <c r="B158" s="11" t="s">
        <v>81</v>
      </c>
      <c r="C158" s="12">
        <v>7</v>
      </c>
      <c r="D158" s="12" t="s">
        <v>105</v>
      </c>
      <c r="E158" s="12" t="s">
        <v>106</v>
      </c>
      <c r="F158" s="13">
        <v>0</v>
      </c>
      <c r="G158" s="12" t="str">
        <f>VLOOKUP(InputData[[#This Row],[PRODUCT ID]],MasterData[],2,0)</f>
        <v>Product36</v>
      </c>
      <c r="H158" s="12" t="str">
        <f>VLOOKUP(InputData[[#This Row],[PRODUCT ID]],MasterData[],3,0)</f>
        <v>Category04</v>
      </c>
      <c r="I158" s="12" t="str">
        <f>VLOOKUP(InputData[[#This Row],[PRODUCT ID]],MasterData[],4,0)</f>
        <v>Kg</v>
      </c>
      <c r="J158" s="14">
        <f>VLOOKUP(InputData[[#This Row],[PRODUCT ID]],MasterData[],5,0)</f>
        <v>90</v>
      </c>
      <c r="K158" s="14">
        <f>VLOOKUP(InputData[[#This Row],[PRODUCT ID]],MasterData[],5,0)</f>
        <v>90</v>
      </c>
      <c r="L158" s="14">
        <f>InputData[[#This Row],[BUYING PRIZE]]*InputData[[#This Row],[QUANTITY]]</f>
        <v>630</v>
      </c>
      <c r="M158" s="14">
        <f>InputData[[#This Row],[SELLING PRICE]]*InputData[[#This Row],[QUANTITY]]*(1-InputData[[#This Row],[DISCOUNT %]])</f>
        <v>630</v>
      </c>
      <c r="N158" s="12">
        <f>DAY(InputData[[#This Row],[DATE]])</f>
        <v>23</v>
      </c>
      <c r="O158" s="12" t="str">
        <f>TEXT(InputData[[#This Row],[DATE]],"mmm")</f>
        <v>Jul</v>
      </c>
      <c r="P158" s="12">
        <f>YEAR(InputData[[#This Row],[DATE]])</f>
        <v>2021</v>
      </c>
      <c r="Q158" s="12"/>
    </row>
    <row r="159" spans="1:17" x14ac:dyDescent="0.3">
      <c r="A159" s="10">
        <v>44400</v>
      </c>
      <c r="B159" s="11" t="s">
        <v>83</v>
      </c>
      <c r="C159" s="12">
        <v>8</v>
      </c>
      <c r="D159" s="12" t="s">
        <v>108</v>
      </c>
      <c r="E159" s="12" t="s">
        <v>106</v>
      </c>
      <c r="F159" s="13">
        <v>0</v>
      </c>
      <c r="G159" s="12" t="str">
        <f>VLOOKUP(InputData[[#This Row],[PRODUCT ID]],MasterData[],2,0)</f>
        <v>Product37</v>
      </c>
      <c r="H159" s="12" t="str">
        <f>VLOOKUP(InputData[[#This Row],[PRODUCT ID]],MasterData[],3,0)</f>
        <v>Category05</v>
      </c>
      <c r="I159" s="12" t="str">
        <f>VLOOKUP(InputData[[#This Row],[PRODUCT ID]],MasterData[],4,0)</f>
        <v>Kg</v>
      </c>
      <c r="J159" s="14">
        <f>VLOOKUP(InputData[[#This Row],[PRODUCT ID]],MasterData[],5,0)</f>
        <v>67</v>
      </c>
      <c r="K159" s="14">
        <f>VLOOKUP(InputData[[#This Row],[PRODUCT ID]],MasterData[],5,0)</f>
        <v>67</v>
      </c>
      <c r="L159" s="14">
        <f>InputData[[#This Row],[BUYING PRIZE]]*InputData[[#This Row],[QUANTITY]]</f>
        <v>536</v>
      </c>
      <c r="M159" s="14">
        <f>InputData[[#This Row],[SELLING PRICE]]*InputData[[#This Row],[QUANTITY]]*(1-InputData[[#This Row],[DISCOUNT %]])</f>
        <v>536</v>
      </c>
      <c r="N159" s="12">
        <f>DAY(InputData[[#This Row],[DATE]])</f>
        <v>23</v>
      </c>
      <c r="O159" s="12" t="str">
        <f>TEXT(InputData[[#This Row],[DATE]],"mmm")</f>
        <v>Jul</v>
      </c>
      <c r="P159" s="12">
        <f>YEAR(InputData[[#This Row],[DATE]])</f>
        <v>2021</v>
      </c>
      <c r="Q159" s="12"/>
    </row>
    <row r="160" spans="1:17" x14ac:dyDescent="0.3">
      <c r="A160" s="10">
        <v>44401</v>
      </c>
      <c r="B160" s="11" t="s">
        <v>24</v>
      </c>
      <c r="C160" s="12">
        <v>4</v>
      </c>
      <c r="D160" s="12" t="s">
        <v>106</v>
      </c>
      <c r="E160" s="12" t="s">
        <v>107</v>
      </c>
      <c r="F160" s="13">
        <v>0</v>
      </c>
      <c r="G160" s="12" t="str">
        <f>VLOOKUP(InputData[[#This Row],[PRODUCT ID]],MasterData[],2,0)</f>
        <v>Product09</v>
      </c>
      <c r="H160" s="12" t="str">
        <f>VLOOKUP(InputData[[#This Row],[PRODUCT ID]],MasterData[],3,0)</f>
        <v>Category01</v>
      </c>
      <c r="I160" s="12" t="str">
        <f>VLOOKUP(InputData[[#This Row],[PRODUCT ID]],MasterData[],4,0)</f>
        <v>No.</v>
      </c>
      <c r="J160" s="14">
        <f>VLOOKUP(InputData[[#This Row],[PRODUCT ID]],MasterData[],5,0)</f>
        <v>6</v>
      </c>
      <c r="K160" s="14">
        <f>VLOOKUP(InputData[[#This Row],[PRODUCT ID]],MasterData[],5,0)</f>
        <v>6</v>
      </c>
      <c r="L160" s="14">
        <f>InputData[[#This Row],[BUYING PRIZE]]*InputData[[#This Row],[QUANTITY]]</f>
        <v>24</v>
      </c>
      <c r="M160" s="14">
        <f>InputData[[#This Row],[SELLING PRICE]]*InputData[[#This Row],[QUANTITY]]*(1-InputData[[#This Row],[DISCOUNT %]])</f>
        <v>24</v>
      </c>
      <c r="N160" s="12">
        <f>DAY(InputData[[#This Row],[DATE]])</f>
        <v>24</v>
      </c>
      <c r="O160" s="12" t="str">
        <f>TEXT(InputData[[#This Row],[DATE]],"mmm")</f>
        <v>Jul</v>
      </c>
      <c r="P160" s="12">
        <f>YEAR(InputData[[#This Row],[DATE]])</f>
        <v>2021</v>
      </c>
      <c r="Q160" s="12"/>
    </row>
    <row r="161" spans="1:17" x14ac:dyDescent="0.3">
      <c r="A161" s="10">
        <v>44406</v>
      </c>
      <c r="B161" s="11" t="s">
        <v>98</v>
      </c>
      <c r="C161" s="12">
        <v>15</v>
      </c>
      <c r="D161" s="12" t="s">
        <v>106</v>
      </c>
      <c r="E161" s="12" t="s">
        <v>107</v>
      </c>
      <c r="F161" s="13">
        <v>0</v>
      </c>
      <c r="G161" s="12" t="str">
        <f>VLOOKUP(InputData[[#This Row],[PRODUCT ID]],MasterData[],2,0)</f>
        <v>Product44</v>
      </c>
      <c r="H161" s="12" t="str">
        <f>VLOOKUP(InputData[[#This Row],[PRODUCT ID]],MasterData[],3,0)</f>
        <v>Category05</v>
      </c>
      <c r="I161" s="12" t="str">
        <f>VLOOKUP(InputData[[#This Row],[PRODUCT ID]],MasterData[],4,0)</f>
        <v>Kg</v>
      </c>
      <c r="J161" s="14">
        <f>VLOOKUP(InputData[[#This Row],[PRODUCT ID]],MasterData[],5,0)</f>
        <v>76</v>
      </c>
      <c r="K161" s="14">
        <f>VLOOKUP(InputData[[#This Row],[PRODUCT ID]],MasterData[],5,0)</f>
        <v>76</v>
      </c>
      <c r="L161" s="14">
        <f>InputData[[#This Row],[BUYING PRIZE]]*InputData[[#This Row],[QUANTITY]]</f>
        <v>1140</v>
      </c>
      <c r="M161" s="14">
        <f>InputData[[#This Row],[SELLING PRICE]]*InputData[[#This Row],[QUANTITY]]*(1-InputData[[#This Row],[DISCOUNT %]])</f>
        <v>1140</v>
      </c>
      <c r="N161" s="12">
        <f>DAY(InputData[[#This Row],[DATE]])</f>
        <v>29</v>
      </c>
      <c r="O161" s="12" t="str">
        <f>TEXT(InputData[[#This Row],[DATE]],"mmm")</f>
        <v>Jul</v>
      </c>
      <c r="P161" s="12">
        <f>YEAR(InputData[[#This Row],[DATE]])</f>
        <v>2021</v>
      </c>
      <c r="Q161" s="12"/>
    </row>
    <row r="162" spans="1:17" x14ac:dyDescent="0.3">
      <c r="A162" s="10">
        <v>44409</v>
      </c>
      <c r="B162" s="11" t="s">
        <v>6</v>
      </c>
      <c r="C162" s="12">
        <v>11</v>
      </c>
      <c r="D162" s="12" t="s">
        <v>108</v>
      </c>
      <c r="E162" s="12" t="s">
        <v>107</v>
      </c>
      <c r="F162" s="13">
        <v>0</v>
      </c>
      <c r="G162" s="12" t="str">
        <f>VLOOKUP(InputData[[#This Row],[PRODUCT ID]],MasterData[],2,0)</f>
        <v>Product01</v>
      </c>
      <c r="H162" s="12" t="str">
        <f>VLOOKUP(InputData[[#This Row],[PRODUCT ID]],MasterData[],3,0)</f>
        <v>Category01</v>
      </c>
      <c r="I162" s="12" t="str">
        <f>VLOOKUP(InputData[[#This Row],[PRODUCT ID]],MasterData[],4,0)</f>
        <v>Kg</v>
      </c>
      <c r="J162" s="14">
        <f>VLOOKUP(InputData[[#This Row],[PRODUCT ID]],MasterData[],5,0)</f>
        <v>98</v>
      </c>
      <c r="K162" s="14">
        <f>VLOOKUP(InputData[[#This Row],[PRODUCT ID]],MasterData[],5,0)</f>
        <v>98</v>
      </c>
      <c r="L162" s="14">
        <f>InputData[[#This Row],[BUYING PRIZE]]*InputData[[#This Row],[QUANTITY]]</f>
        <v>1078</v>
      </c>
      <c r="M162" s="14">
        <f>InputData[[#This Row],[SELLING PRICE]]*InputData[[#This Row],[QUANTITY]]*(1-InputData[[#This Row],[DISCOUNT %]])</f>
        <v>1078</v>
      </c>
      <c r="N162" s="12">
        <f>DAY(InputData[[#This Row],[DATE]])</f>
        <v>1</v>
      </c>
      <c r="O162" s="12" t="str">
        <f>TEXT(InputData[[#This Row],[DATE]],"mmm")</f>
        <v>Aug</v>
      </c>
      <c r="P162" s="12">
        <f>YEAR(InputData[[#This Row],[DATE]])</f>
        <v>2021</v>
      </c>
      <c r="Q162" s="12"/>
    </row>
    <row r="163" spans="1:17" x14ac:dyDescent="0.3">
      <c r="A163" s="10">
        <v>44410</v>
      </c>
      <c r="B163" s="11" t="s">
        <v>54</v>
      </c>
      <c r="C163" s="12">
        <v>3</v>
      </c>
      <c r="D163" s="12" t="s">
        <v>108</v>
      </c>
      <c r="E163" s="12" t="s">
        <v>106</v>
      </c>
      <c r="F163" s="13">
        <v>0</v>
      </c>
      <c r="G163" s="12" t="str">
        <f>VLOOKUP(InputData[[#This Row],[PRODUCT ID]],MasterData[],2,0)</f>
        <v>Product23</v>
      </c>
      <c r="H163" s="12" t="str">
        <f>VLOOKUP(InputData[[#This Row],[PRODUCT ID]],MasterData[],3,0)</f>
        <v>Category03</v>
      </c>
      <c r="I163" s="12" t="str">
        <f>VLOOKUP(InputData[[#This Row],[PRODUCT ID]],MasterData[],4,0)</f>
        <v>Ft</v>
      </c>
      <c r="J163" s="14">
        <f>VLOOKUP(InputData[[#This Row],[PRODUCT ID]],MasterData[],5,0)</f>
        <v>141</v>
      </c>
      <c r="K163" s="14">
        <f>VLOOKUP(InputData[[#This Row],[PRODUCT ID]],MasterData[],5,0)</f>
        <v>141</v>
      </c>
      <c r="L163" s="14">
        <f>InputData[[#This Row],[BUYING PRIZE]]*InputData[[#This Row],[QUANTITY]]</f>
        <v>423</v>
      </c>
      <c r="M163" s="14">
        <f>InputData[[#This Row],[SELLING PRICE]]*InputData[[#This Row],[QUANTITY]]*(1-InputData[[#This Row],[DISCOUNT %]])</f>
        <v>423</v>
      </c>
      <c r="N163" s="12">
        <f>DAY(InputData[[#This Row],[DATE]])</f>
        <v>2</v>
      </c>
      <c r="O163" s="12" t="str">
        <f>TEXT(InputData[[#This Row],[DATE]],"mmm")</f>
        <v>Aug</v>
      </c>
      <c r="P163" s="12">
        <f>YEAR(InputData[[#This Row],[DATE]])</f>
        <v>2021</v>
      </c>
      <c r="Q163" s="12"/>
    </row>
    <row r="164" spans="1:17" x14ac:dyDescent="0.3">
      <c r="A164" s="10">
        <v>44411</v>
      </c>
      <c r="B164" s="11" t="s">
        <v>52</v>
      </c>
      <c r="C164" s="12">
        <v>13</v>
      </c>
      <c r="D164" s="12" t="s">
        <v>106</v>
      </c>
      <c r="E164" s="12" t="s">
        <v>106</v>
      </c>
      <c r="F164" s="13">
        <v>0</v>
      </c>
      <c r="G164" s="12" t="str">
        <f>VLOOKUP(InputData[[#This Row],[PRODUCT ID]],MasterData[],2,0)</f>
        <v>Product22</v>
      </c>
      <c r="H164" s="12" t="str">
        <f>VLOOKUP(InputData[[#This Row],[PRODUCT ID]],MasterData[],3,0)</f>
        <v>Category03</v>
      </c>
      <c r="I164" s="12" t="str">
        <f>VLOOKUP(InputData[[#This Row],[PRODUCT ID]],MasterData[],4,0)</f>
        <v>Ft</v>
      </c>
      <c r="J164" s="14">
        <f>VLOOKUP(InputData[[#This Row],[PRODUCT ID]],MasterData[],5,0)</f>
        <v>121</v>
      </c>
      <c r="K164" s="14">
        <f>VLOOKUP(InputData[[#This Row],[PRODUCT ID]],MasterData[],5,0)</f>
        <v>121</v>
      </c>
      <c r="L164" s="14">
        <f>InputData[[#This Row],[BUYING PRIZE]]*InputData[[#This Row],[QUANTITY]]</f>
        <v>1573</v>
      </c>
      <c r="M164" s="14">
        <f>InputData[[#This Row],[SELLING PRICE]]*InputData[[#This Row],[QUANTITY]]*(1-InputData[[#This Row],[DISCOUNT %]])</f>
        <v>1573</v>
      </c>
      <c r="N164" s="12">
        <f>DAY(InputData[[#This Row],[DATE]])</f>
        <v>3</v>
      </c>
      <c r="O164" s="12" t="str">
        <f>TEXT(InputData[[#This Row],[DATE]],"mmm")</f>
        <v>Aug</v>
      </c>
      <c r="P164" s="12">
        <f>YEAR(InputData[[#This Row],[DATE]])</f>
        <v>2021</v>
      </c>
      <c r="Q164" s="12"/>
    </row>
    <row r="165" spans="1:17" x14ac:dyDescent="0.3">
      <c r="A165" s="10">
        <v>44411</v>
      </c>
      <c r="B165" s="11" t="s">
        <v>77</v>
      </c>
      <c r="C165" s="12">
        <v>12</v>
      </c>
      <c r="D165" s="12" t="s">
        <v>106</v>
      </c>
      <c r="E165" s="12" t="s">
        <v>106</v>
      </c>
      <c r="F165" s="13">
        <v>0</v>
      </c>
      <c r="G165" s="12" t="str">
        <f>VLOOKUP(InputData[[#This Row],[PRODUCT ID]],MasterData[],2,0)</f>
        <v>Product34</v>
      </c>
      <c r="H165" s="12" t="str">
        <f>VLOOKUP(InputData[[#This Row],[PRODUCT ID]],MasterData[],3,0)</f>
        <v>Category04</v>
      </c>
      <c r="I165" s="12" t="str">
        <f>VLOOKUP(InputData[[#This Row],[PRODUCT ID]],MasterData[],4,0)</f>
        <v>Lt</v>
      </c>
      <c r="J165" s="14">
        <f>VLOOKUP(InputData[[#This Row],[PRODUCT ID]],MasterData[],5,0)</f>
        <v>55</v>
      </c>
      <c r="K165" s="14">
        <f>VLOOKUP(InputData[[#This Row],[PRODUCT ID]],MasterData[],5,0)</f>
        <v>55</v>
      </c>
      <c r="L165" s="14">
        <f>InputData[[#This Row],[BUYING PRIZE]]*InputData[[#This Row],[QUANTITY]]</f>
        <v>660</v>
      </c>
      <c r="M165" s="14">
        <f>InputData[[#This Row],[SELLING PRICE]]*InputData[[#This Row],[QUANTITY]]*(1-InputData[[#This Row],[DISCOUNT %]])</f>
        <v>660</v>
      </c>
      <c r="N165" s="12">
        <f>DAY(InputData[[#This Row],[DATE]])</f>
        <v>3</v>
      </c>
      <c r="O165" s="12" t="str">
        <f>TEXT(InputData[[#This Row],[DATE]],"mmm")</f>
        <v>Aug</v>
      </c>
      <c r="P165" s="12">
        <f>YEAR(InputData[[#This Row],[DATE]])</f>
        <v>2021</v>
      </c>
      <c r="Q165" s="12"/>
    </row>
    <row r="166" spans="1:17" x14ac:dyDescent="0.3">
      <c r="A166" s="10">
        <v>44413</v>
      </c>
      <c r="B166" s="11" t="s">
        <v>65</v>
      </c>
      <c r="C166" s="12">
        <v>14</v>
      </c>
      <c r="D166" s="12" t="s">
        <v>108</v>
      </c>
      <c r="E166" s="12" t="s">
        <v>107</v>
      </c>
      <c r="F166" s="13">
        <v>0</v>
      </c>
      <c r="G166" s="12" t="str">
        <f>VLOOKUP(InputData[[#This Row],[PRODUCT ID]],MasterData[],2,0)</f>
        <v>Product28</v>
      </c>
      <c r="H166" s="12" t="str">
        <f>VLOOKUP(InputData[[#This Row],[PRODUCT ID]],MasterData[],3,0)</f>
        <v>Category04</v>
      </c>
      <c r="I166" s="12" t="str">
        <f>VLOOKUP(InputData[[#This Row],[PRODUCT ID]],MasterData[],4,0)</f>
        <v>No.</v>
      </c>
      <c r="J166" s="14">
        <f>VLOOKUP(InputData[[#This Row],[PRODUCT ID]],MasterData[],5,0)</f>
        <v>37</v>
      </c>
      <c r="K166" s="14">
        <f>VLOOKUP(InputData[[#This Row],[PRODUCT ID]],MasterData[],5,0)</f>
        <v>37</v>
      </c>
      <c r="L166" s="14">
        <f>InputData[[#This Row],[BUYING PRIZE]]*InputData[[#This Row],[QUANTITY]]</f>
        <v>518</v>
      </c>
      <c r="M166" s="14">
        <f>InputData[[#This Row],[SELLING PRICE]]*InputData[[#This Row],[QUANTITY]]*(1-InputData[[#This Row],[DISCOUNT %]])</f>
        <v>518</v>
      </c>
      <c r="N166" s="12">
        <f>DAY(InputData[[#This Row],[DATE]])</f>
        <v>5</v>
      </c>
      <c r="O166" s="12" t="str">
        <f>TEXT(InputData[[#This Row],[DATE]],"mmm")</f>
        <v>Aug</v>
      </c>
      <c r="P166" s="12">
        <f>YEAR(InputData[[#This Row],[DATE]])</f>
        <v>2021</v>
      </c>
      <c r="Q166" s="12"/>
    </row>
    <row r="167" spans="1:17" x14ac:dyDescent="0.3">
      <c r="A167" s="10">
        <v>44414</v>
      </c>
      <c r="B167" s="11" t="s">
        <v>83</v>
      </c>
      <c r="C167" s="12">
        <v>1</v>
      </c>
      <c r="D167" s="12" t="s">
        <v>105</v>
      </c>
      <c r="E167" s="12" t="s">
        <v>107</v>
      </c>
      <c r="F167" s="13">
        <v>0</v>
      </c>
      <c r="G167" s="12" t="str">
        <f>VLOOKUP(InputData[[#This Row],[PRODUCT ID]],MasterData[],2,0)</f>
        <v>Product37</v>
      </c>
      <c r="H167" s="12" t="str">
        <f>VLOOKUP(InputData[[#This Row],[PRODUCT ID]],MasterData[],3,0)</f>
        <v>Category05</v>
      </c>
      <c r="I167" s="12" t="str">
        <f>VLOOKUP(InputData[[#This Row],[PRODUCT ID]],MasterData[],4,0)</f>
        <v>Kg</v>
      </c>
      <c r="J167" s="14">
        <f>VLOOKUP(InputData[[#This Row],[PRODUCT ID]],MasterData[],5,0)</f>
        <v>67</v>
      </c>
      <c r="K167" s="14">
        <f>VLOOKUP(InputData[[#This Row],[PRODUCT ID]],MasterData[],5,0)</f>
        <v>67</v>
      </c>
      <c r="L167" s="14">
        <f>InputData[[#This Row],[BUYING PRIZE]]*InputData[[#This Row],[QUANTITY]]</f>
        <v>67</v>
      </c>
      <c r="M167" s="14">
        <f>InputData[[#This Row],[SELLING PRICE]]*InputData[[#This Row],[QUANTITY]]*(1-InputData[[#This Row],[DISCOUNT %]])</f>
        <v>67</v>
      </c>
      <c r="N167" s="12">
        <f>DAY(InputData[[#This Row],[DATE]])</f>
        <v>6</v>
      </c>
      <c r="O167" s="12" t="str">
        <f>TEXT(InputData[[#This Row],[DATE]],"mmm")</f>
        <v>Aug</v>
      </c>
      <c r="P167" s="12">
        <f>YEAR(InputData[[#This Row],[DATE]])</f>
        <v>2021</v>
      </c>
      <c r="Q167" s="12"/>
    </row>
    <row r="168" spans="1:17" x14ac:dyDescent="0.3">
      <c r="A168" s="10">
        <v>44418</v>
      </c>
      <c r="B168" s="11" t="s">
        <v>16</v>
      </c>
      <c r="C168" s="12">
        <v>4</v>
      </c>
      <c r="D168" s="12" t="s">
        <v>105</v>
      </c>
      <c r="E168" s="12" t="s">
        <v>107</v>
      </c>
      <c r="F168" s="13">
        <v>0</v>
      </c>
      <c r="G168" s="12" t="str">
        <f>VLOOKUP(InputData[[#This Row],[PRODUCT ID]],MasterData[],2,0)</f>
        <v>Product05</v>
      </c>
      <c r="H168" s="12" t="str">
        <f>VLOOKUP(InputData[[#This Row],[PRODUCT ID]],MasterData[],3,0)</f>
        <v>Category01</v>
      </c>
      <c r="I168" s="12" t="str">
        <f>VLOOKUP(InputData[[#This Row],[PRODUCT ID]],MasterData[],4,0)</f>
        <v>Ft</v>
      </c>
      <c r="J168" s="14">
        <f>VLOOKUP(InputData[[#This Row],[PRODUCT ID]],MasterData[],5,0)</f>
        <v>133</v>
      </c>
      <c r="K168" s="14">
        <f>VLOOKUP(InputData[[#This Row],[PRODUCT ID]],MasterData[],5,0)</f>
        <v>133</v>
      </c>
      <c r="L168" s="14">
        <f>InputData[[#This Row],[BUYING PRIZE]]*InputData[[#This Row],[QUANTITY]]</f>
        <v>532</v>
      </c>
      <c r="M168" s="14">
        <f>InputData[[#This Row],[SELLING PRICE]]*InputData[[#This Row],[QUANTITY]]*(1-InputData[[#This Row],[DISCOUNT %]])</f>
        <v>532</v>
      </c>
      <c r="N168" s="12">
        <f>DAY(InputData[[#This Row],[DATE]])</f>
        <v>10</v>
      </c>
      <c r="O168" s="12" t="str">
        <f>TEXT(InputData[[#This Row],[DATE]],"mmm")</f>
        <v>Aug</v>
      </c>
      <c r="P168" s="12">
        <f>YEAR(InputData[[#This Row],[DATE]])</f>
        <v>2021</v>
      </c>
      <c r="Q168" s="12"/>
    </row>
    <row r="169" spans="1:17" x14ac:dyDescent="0.3">
      <c r="A169" s="10">
        <v>44418</v>
      </c>
      <c r="B169" s="11" t="s">
        <v>98</v>
      </c>
      <c r="C169" s="12">
        <v>10</v>
      </c>
      <c r="D169" s="12" t="s">
        <v>106</v>
      </c>
      <c r="E169" s="12" t="s">
        <v>107</v>
      </c>
      <c r="F169" s="13">
        <v>0</v>
      </c>
      <c r="G169" s="12" t="str">
        <f>VLOOKUP(InputData[[#This Row],[PRODUCT ID]],MasterData[],2,0)</f>
        <v>Product44</v>
      </c>
      <c r="H169" s="12" t="str">
        <f>VLOOKUP(InputData[[#This Row],[PRODUCT ID]],MasterData[],3,0)</f>
        <v>Category05</v>
      </c>
      <c r="I169" s="12" t="str">
        <f>VLOOKUP(InputData[[#This Row],[PRODUCT ID]],MasterData[],4,0)</f>
        <v>Kg</v>
      </c>
      <c r="J169" s="14">
        <f>VLOOKUP(InputData[[#This Row],[PRODUCT ID]],MasterData[],5,0)</f>
        <v>76</v>
      </c>
      <c r="K169" s="14">
        <f>VLOOKUP(InputData[[#This Row],[PRODUCT ID]],MasterData[],5,0)</f>
        <v>76</v>
      </c>
      <c r="L169" s="14">
        <f>InputData[[#This Row],[BUYING PRIZE]]*InputData[[#This Row],[QUANTITY]]</f>
        <v>760</v>
      </c>
      <c r="M169" s="14">
        <f>InputData[[#This Row],[SELLING PRICE]]*InputData[[#This Row],[QUANTITY]]*(1-InputData[[#This Row],[DISCOUNT %]])</f>
        <v>760</v>
      </c>
      <c r="N169" s="12">
        <f>DAY(InputData[[#This Row],[DATE]])</f>
        <v>10</v>
      </c>
      <c r="O169" s="12" t="str">
        <f>TEXT(InputData[[#This Row],[DATE]],"mmm")</f>
        <v>Aug</v>
      </c>
      <c r="P169" s="12">
        <f>YEAR(InputData[[#This Row],[DATE]])</f>
        <v>2021</v>
      </c>
      <c r="Q169" s="12"/>
    </row>
    <row r="170" spans="1:17" x14ac:dyDescent="0.3">
      <c r="A170" s="10">
        <v>44418</v>
      </c>
      <c r="B170" s="11" t="s">
        <v>18</v>
      </c>
      <c r="C170" s="12">
        <v>6</v>
      </c>
      <c r="D170" s="12" t="s">
        <v>108</v>
      </c>
      <c r="E170" s="12" t="s">
        <v>107</v>
      </c>
      <c r="F170" s="13">
        <v>0</v>
      </c>
      <c r="G170" s="12" t="str">
        <f>VLOOKUP(InputData[[#This Row],[PRODUCT ID]],MasterData[],2,0)</f>
        <v>Product06</v>
      </c>
      <c r="H170" s="12" t="str">
        <f>VLOOKUP(InputData[[#This Row],[PRODUCT ID]],MasterData[],3,0)</f>
        <v>Category01</v>
      </c>
      <c r="I170" s="12" t="str">
        <f>VLOOKUP(InputData[[#This Row],[PRODUCT ID]],MasterData[],4,0)</f>
        <v>Kg</v>
      </c>
      <c r="J170" s="14">
        <f>VLOOKUP(InputData[[#This Row],[PRODUCT ID]],MasterData[],5,0)</f>
        <v>75</v>
      </c>
      <c r="K170" s="14">
        <f>VLOOKUP(InputData[[#This Row],[PRODUCT ID]],MasterData[],5,0)</f>
        <v>75</v>
      </c>
      <c r="L170" s="14">
        <f>InputData[[#This Row],[BUYING PRIZE]]*InputData[[#This Row],[QUANTITY]]</f>
        <v>450</v>
      </c>
      <c r="M170" s="14">
        <f>InputData[[#This Row],[SELLING PRICE]]*InputData[[#This Row],[QUANTITY]]*(1-InputData[[#This Row],[DISCOUNT %]])</f>
        <v>450</v>
      </c>
      <c r="N170" s="12">
        <f>DAY(InputData[[#This Row],[DATE]])</f>
        <v>10</v>
      </c>
      <c r="O170" s="12" t="str">
        <f>TEXT(InputData[[#This Row],[DATE]],"mmm")</f>
        <v>Aug</v>
      </c>
      <c r="P170" s="12">
        <f>YEAR(InputData[[#This Row],[DATE]])</f>
        <v>2021</v>
      </c>
      <c r="Q170" s="12"/>
    </row>
    <row r="171" spans="1:17" x14ac:dyDescent="0.3">
      <c r="A171" s="10">
        <v>44419</v>
      </c>
      <c r="B171" s="11" t="s">
        <v>54</v>
      </c>
      <c r="C171" s="12">
        <v>4</v>
      </c>
      <c r="D171" s="12" t="s">
        <v>108</v>
      </c>
      <c r="E171" s="12" t="s">
        <v>106</v>
      </c>
      <c r="F171" s="13">
        <v>0</v>
      </c>
      <c r="G171" s="12" t="str">
        <f>VLOOKUP(InputData[[#This Row],[PRODUCT ID]],MasterData[],2,0)</f>
        <v>Product23</v>
      </c>
      <c r="H171" s="12" t="str">
        <f>VLOOKUP(InputData[[#This Row],[PRODUCT ID]],MasterData[],3,0)</f>
        <v>Category03</v>
      </c>
      <c r="I171" s="12" t="str">
        <f>VLOOKUP(InputData[[#This Row],[PRODUCT ID]],MasterData[],4,0)</f>
        <v>Ft</v>
      </c>
      <c r="J171" s="14">
        <f>VLOOKUP(InputData[[#This Row],[PRODUCT ID]],MasterData[],5,0)</f>
        <v>141</v>
      </c>
      <c r="K171" s="14">
        <f>VLOOKUP(InputData[[#This Row],[PRODUCT ID]],MasterData[],5,0)</f>
        <v>141</v>
      </c>
      <c r="L171" s="14">
        <f>InputData[[#This Row],[BUYING PRIZE]]*InputData[[#This Row],[QUANTITY]]</f>
        <v>564</v>
      </c>
      <c r="M171" s="14">
        <f>InputData[[#This Row],[SELLING PRICE]]*InputData[[#This Row],[QUANTITY]]*(1-InputData[[#This Row],[DISCOUNT %]])</f>
        <v>564</v>
      </c>
      <c r="N171" s="12">
        <f>DAY(InputData[[#This Row],[DATE]])</f>
        <v>11</v>
      </c>
      <c r="O171" s="12" t="str">
        <f>TEXT(InputData[[#This Row],[DATE]],"mmm")</f>
        <v>Aug</v>
      </c>
      <c r="P171" s="12">
        <f>YEAR(InputData[[#This Row],[DATE]])</f>
        <v>2021</v>
      </c>
      <c r="Q171" s="12"/>
    </row>
    <row r="172" spans="1:17" x14ac:dyDescent="0.3">
      <c r="A172" s="10">
        <v>44421</v>
      </c>
      <c r="B172" s="11" t="s">
        <v>29</v>
      </c>
      <c r="C172" s="12">
        <v>13</v>
      </c>
      <c r="D172" s="12" t="s">
        <v>108</v>
      </c>
      <c r="E172" s="12" t="s">
        <v>106</v>
      </c>
      <c r="F172" s="13">
        <v>0</v>
      </c>
      <c r="G172" s="12" t="str">
        <f>VLOOKUP(InputData[[#This Row],[PRODUCT ID]],MasterData[],2,0)</f>
        <v>Product11</v>
      </c>
      <c r="H172" s="12" t="str">
        <f>VLOOKUP(InputData[[#This Row],[PRODUCT ID]],MasterData[],3,0)</f>
        <v>Category02</v>
      </c>
      <c r="I172" s="12" t="str">
        <f>VLOOKUP(InputData[[#This Row],[PRODUCT ID]],MasterData[],4,0)</f>
        <v>Lt</v>
      </c>
      <c r="J172" s="14">
        <f>VLOOKUP(InputData[[#This Row],[PRODUCT ID]],MasterData[],5,0)</f>
        <v>44</v>
      </c>
      <c r="K172" s="14">
        <f>VLOOKUP(InputData[[#This Row],[PRODUCT ID]],MasterData[],5,0)</f>
        <v>44</v>
      </c>
      <c r="L172" s="14">
        <f>InputData[[#This Row],[BUYING PRIZE]]*InputData[[#This Row],[QUANTITY]]</f>
        <v>572</v>
      </c>
      <c r="M172" s="14">
        <f>InputData[[#This Row],[SELLING PRICE]]*InputData[[#This Row],[QUANTITY]]*(1-InputData[[#This Row],[DISCOUNT %]])</f>
        <v>572</v>
      </c>
      <c r="N172" s="12">
        <f>DAY(InputData[[#This Row],[DATE]])</f>
        <v>13</v>
      </c>
      <c r="O172" s="12" t="str">
        <f>TEXT(InputData[[#This Row],[DATE]],"mmm")</f>
        <v>Aug</v>
      </c>
      <c r="P172" s="12">
        <f>YEAR(InputData[[#This Row],[DATE]])</f>
        <v>2021</v>
      </c>
      <c r="Q172" s="12"/>
    </row>
    <row r="173" spans="1:17" x14ac:dyDescent="0.3">
      <c r="A173" s="10">
        <v>44421</v>
      </c>
      <c r="B173" s="11" t="s">
        <v>63</v>
      </c>
      <c r="C173" s="12">
        <v>9</v>
      </c>
      <c r="D173" s="12" t="s">
        <v>108</v>
      </c>
      <c r="E173" s="12" t="s">
        <v>106</v>
      </c>
      <c r="F173" s="13">
        <v>0</v>
      </c>
      <c r="G173" s="12" t="str">
        <f>VLOOKUP(InputData[[#This Row],[PRODUCT ID]],MasterData[],2,0)</f>
        <v>Product27</v>
      </c>
      <c r="H173" s="12" t="str">
        <f>VLOOKUP(InputData[[#This Row],[PRODUCT ID]],MasterData[],3,0)</f>
        <v>Category04</v>
      </c>
      <c r="I173" s="12" t="str">
        <f>VLOOKUP(InputData[[#This Row],[PRODUCT ID]],MasterData[],4,0)</f>
        <v>Lt</v>
      </c>
      <c r="J173" s="14">
        <f>VLOOKUP(InputData[[#This Row],[PRODUCT ID]],MasterData[],5,0)</f>
        <v>48</v>
      </c>
      <c r="K173" s="14">
        <f>VLOOKUP(InputData[[#This Row],[PRODUCT ID]],MasterData[],5,0)</f>
        <v>48</v>
      </c>
      <c r="L173" s="14">
        <f>InputData[[#This Row],[BUYING PRIZE]]*InputData[[#This Row],[QUANTITY]]</f>
        <v>432</v>
      </c>
      <c r="M173" s="14">
        <f>InputData[[#This Row],[SELLING PRICE]]*InputData[[#This Row],[QUANTITY]]*(1-InputData[[#This Row],[DISCOUNT %]])</f>
        <v>432</v>
      </c>
      <c r="N173" s="12">
        <f>DAY(InputData[[#This Row],[DATE]])</f>
        <v>13</v>
      </c>
      <c r="O173" s="12" t="str">
        <f>TEXT(InputData[[#This Row],[DATE]],"mmm")</f>
        <v>Aug</v>
      </c>
      <c r="P173" s="12">
        <f>YEAR(InputData[[#This Row],[DATE]])</f>
        <v>2021</v>
      </c>
      <c r="Q173" s="12"/>
    </row>
    <row r="174" spans="1:17" x14ac:dyDescent="0.3">
      <c r="A174" s="10">
        <v>44424</v>
      </c>
      <c r="B174" s="11" t="s">
        <v>12</v>
      </c>
      <c r="C174" s="12">
        <v>3</v>
      </c>
      <c r="D174" s="12" t="s">
        <v>106</v>
      </c>
      <c r="E174" s="12" t="s">
        <v>106</v>
      </c>
      <c r="F174" s="13">
        <v>0</v>
      </c>
      <c r="G174" s="12" t="str">
        <f>VLOOKUP(InputData[[#This Row],[PRODUCT ID]],MasterData[],2,0)</f>
        <v>Product03</v>
      </c>
      <c r="H174" s="12" t="str">
        <f>VLOOKUP(InputData[[#This Row],[PRODUCT ID]],MasterData[],3,0)</f>
        <v>Category01</v>
      </c>
      <c r="I174" s="12" t="str">
        <f>VLOOKUP(InputData[[#This Row],[PRODUCT ID]],MasterData[],4,0)</f>
        <v>Kg</v>
      </c>
      <c r="J174" s="14">
        <f>VLOOKUP(InputData[[#This Row],[PRODUCT ID]],MasterData[],5,0)</f>
        <v>71</v>
      </c>
      <c r="K174" s="14">
        <f>VLOOKUP(InputData[[#This Row],[PRODUCT ID]],MasterData[],5,0)</f>
        <v>71</v>
      </c>
      <c r="L174" s="14">
        <f>InputData[[#This Row],[BUYING PRIZE]]*InputData[[#This Row],[QUANTITY]]</f>
        <v>213</v>
      </c>
      <c r="M174" s="14">
        <f>InputData[[#This Row],[SELLING PRICE]]*InputData[[#This Row],[QUANTITY]]*(1-InputData[[#This Row],[DISCOUNT %]])</f>
        <v>213</v>
      </c>
      <c r="N174" s="12">
        <f>DAY(InputData[[#This Row],[DATE]])</f>
        <v>16</v>
      </c>
      <c r="O174" s="12" t="str">
        <f>TEXT(InputData[[#This Row],[DATE]],"mmm")</f>
        <v>Aug</v>
      </c>
      <c r="P174" s="12">
        <f>YEAR(InputData[[#This Row],[DATE]])</f>
        <v>2021</v>
      </c>
      <c r="Q174" s="12"/>
    </row>
    <row r="175" spans="1:17" x14ac:dyDescent="0.3">
      <c r="A175" s="10">
        <v>44426</v>
      </c>
      <c r="B175" s="11" t="s">
        <v>58</v>
      </c>
      <c r="C175" s="12">
        <v>6</v>
      </c>
      <c r="D175" s="12" t="s">
        <v>108</v>
      </c>
      <c r="E175" s="12" t="s">
        <v>106</v>
      </c>
      <c r="F175" s="13">
        <v>0</v>
      </c>
      <c r="G175" s="12" t="str">
        <f>VLOOKUP(InputData[[#This Row],[PRODUCT ID]],MasterData[],2,0)</f>
        <v>Product25</v>
      </c>
      <c r="H175" s="12" t="str">
        <f>VLOOKUP(InputData[[#This Row],[PRODUCT ID]],MasterData[],3,0)</f>
        <v>Category03</v>
      </c>
      <c r="I175" s="12" t="str">
        <f>VLOOKUP(InputData[[#This Row],[PRODUCT ID]],MasterData[],4,0)</f>
        <v>No.</v>
      </c>
      <c r="J175" s="14">
        <f>VLOOKUP(InputData[[#This Row],[PRODUCT ID]],MasterData[],5,0)</f>
        <v>7</v>
      </c>
      <c r="K175" s="14">
        <f>VLOOKUP(InputData[[#This Row],[PRODUCT ID]],MasterData[],5,0)</f>
        <v>7</v>
      </c>
      <c r="L175" s="14">
        <f>InputData[[#This Row],[BUYING PRIZE]]*InputData[[#This Row],[QUANTITY]]</f>
        <v>42</v>
      </c>
      <c r="M175" s="14">
        <f>InputData[[#This Row],[SELLING PRICE]]*InputData[[#This Row],[QUANTITY]]*(1-InputData[[#This Row],[DISCOUNT %]])</f>
        <v>42</v>
      </c>
      <c r="N175" s="12">
        <f>DAY(InputData[[#This Row],[DATE]])</f>
        <v>18</v>
      </c>
      <c r="O175" s="12" t="str">
        <f>TEXT(InputData[[#This Row],[DATE]],"mmm")</f>
        <v>Aug</v>
      </c>
      <c r="P175" s="12">
        <f>YEAR(InputData[[#This Row],[DATE]])</f>
        <v>2021</v>
      </c>
      <c r="Q175" s="12"/>
    </row>
    <row r="176" spans="1:17" x14ac:dyDescent="0.3">
      <c r="A176" s="10">
        <v>44428</v>
      </c>
      <c r="B176" s="11" t="s">
        <v>47</v>
      </c>
      <c r="C176" s="12">
        <v>15</v>
      </c>
      <c r="D176" s="12" t="s">
        <v>108</v>
      </c>
      <c r="E176" s="12" t="s">
        <v>107</v>
      </c>
      <c r="F176" s="13">
        <v>0</v>
      </c>
      <c r="G176" s="12" t="str">
        <f>VLOOKUP(InputData[[#This Row],[PRODUCT ID]],MasterData[],2,0)</f>
        <v>Product20</v>
      </c>
      <c r="H176" s="12" t="str">
        <f>VLOOKUP(InputData[[#This Row],[PRODUCT ID]],MasterData[],3,0)</f>
        <v>Category03</v>
      </c>
      <c r="I176" s="12" t="str">
        <f>VLOOKUP(InputData[[#This Row],[PRODUCT ID]],MasterData[],4,0)</f>
        <v>Lt</v>
      </c>
      <c r="J176" s="14">
        <f>VLOOKUP(InputData[[#This Row],[PRODUCT ID]],MasterData[],5,0)</f>
        <v>61</v>
      </c>
      <c r="K176" s="14">
        <f>VLOOKUP(InputData[[#This Row],[PRODUCT ID]],MasterData[],5,0)</f>
        <v>61</v>
      </c>
      <c r="L176" s="14">
        <f>InputData[[#This Row],[BUYING PRIZE]]*InputData[[#This Row],[QUANTITY]]</f>
        <v>915</v>
      </c>
      <c r="M176" s="14">
        <f>InputData[[#This Row],[SELLING PRICE]]*InputData[[#This Row],[QUANTITY]]*(1-InputData[[#This Row],[DISCOUNT %]])</f>
        <v>915</v>
      </c>
      <c r="N176" s="12">
        <f>DAY(InputData[[#This Row],[DATE]])</f>
        <v>20</v>
      </c>
      <c r="O176" s="12" t="str">
        <f>TEXT(InputData[[#This Row],[DATE]],"mmm")</f>
        <v>Aug</v>
      </c>
      <c r="P176" s="12">
        <f>YEAR(InputData[[#This Row],[DATE]])</f>
        <v>2021</v>
      </c>
      <c r="Q176" s="12"/>
    </row>
    <row r="177" spans="1:17" x14ac:dyDescent="0.3">
      <c r="A177" s="10">
        <v>44428</v>
      </c>
      <c r="B177" s="11" t="s">
        <v>71</v>
      </c>
      <c r="C177" s="12">
        <v>9</v>
      </c>
      <c r="D177" s="12" t="s">
        <v>108</v>
      </c>
      <c r="E177" s="12" t="s">
        <v>106</v>
      </c>
      <c r="F177" s="13">
        <v>0</v>
      </c>
      <c r="G177" s="12" t="str">
        <f>VLOOKUP(InputData[[#This Row],[PRODUCT ID]],MasterData[],2,0)</f>
        <v>Product31</v>
      </c>
      <c r="H177" s="12" t="str">
        <f>VLOOKUP(InputData[[#This Row],[PRODUCT ID]],MasterData[],3,0)</f>
        <v>Category04</v>
      </c>
      <c r="I177" s="12" t="str">
        <f>VLOOKUP(InputData[[#This Row],[PRODUCT ID]],MasterData[],4,0)</f>
        <v>Kg</v>
      </c>
      <c r="J177" s="14">
        <f>VLOOKUP(InputData[[#This Row],[PRODUCT ID]],MasterData[],5,0)</f>
        <v>93</v>
      </c>
      <c r="K177" s="14">
        <f>VLOOKUP(InputData[[#This Row],[PRODUCT ID]],MasterData[],5,0)</f>
        <v>93</v>
      </c>
      <c r="L177" s="14">
        <f>InputData[[#This Row],[BUYING PRIZE]]*InputData[[#This Row],[QUANTITY]]</f>
        <v>837</v>
      </c>
      <c r="M177" s="14">
        <f>InputData[[#This Row],[SELLING PRICE]]*InputData[[#This Row],[QUANTITY]]*(1-InputData[[#This Row],[DISCOUNT %]])</f>
        <v>837</v>
      </c>
      <c r="N177" s="12">
        <f>DAY(InputData[[#This Row],[DATE]])</f>
        <v>20</v>
      </c>
      <c r="O177" s="12" t="str">
        <f>TEXT(InputData[[#This Row],[DATE]],"mmm")</f>
        <v>Aug</v>
      </c>
      <c r="P177" s="12">
        <f>YEAR(InputData[[#This Row],[DATE]])</f>
        <v>2021</v>
      </c>
      <c r="Q177" s="12"/>
    </row>
    <row r="178" spans="1:17" x14ac:dyDescent="0.3">
      <c r="A178" s="10">
        <v>44428</v>
      </c>
      <c r="B178" s="11" t="s">
        <v>65</v>
      </c>
      <c r="C178" s="12">
        <v>13</v>
      </c>
      <c r="D178" s="12" t="s">
        <v>108</v>
      </c>
      <c r="E178" s="12" t="s">
        <v>106</v>
      </c>
      <c r="F178" s="13">
        <v>0</v>
      </c>
      <c r="G178" s="12" t="str">
        <f>VLOOKUP(InputData[[#This Row],[PRODUCT ID]],MasterData[],2,0)</f>
        <v>Product28</v>
      </c>
      <c r="H178" s="12" t="str">
        <f>VLOOKUP(InputData[[#This Row],[PRODUCT ID]],MasterData[],3,0)</f>
        <v>Category04</v>
      </c>
      <c r="I178" s="12" t="str">
        <f>VLOOKUP(InputData[[#This Row],[PRODUCT ID]],MasterData[],4,0)</f>
        <v>No.</v>
      </c>
      <c r="J178" s="14">
        <f>VLOOKUP(InputData[[#This Row],[PRODUCT ID]],MasterData[],5,0)</f>
        <v>37</v>
      </c>
      <c r="K178" s="14">
        <f>VLOOKUP(InputData[[#This Row],[PRODUCT ID]],MasterData[],5,0)</f>
        <v>37</v>
      </c>
      <c r="L178" s="14">
        <f>InputData[[#This Row],[BUYING PRIZE]]*InputData[[#This Row],[QUANTITY]]</f>
        <v>481</v>
      </c>
      <c r="M178" s="14">
        <f>InputData[[#This Row],[SELLING PRICE]]*InputData[[#This Row],[QUANTITY]]*(1-InputData[[#This Row],[DISCOUNT %]])</f>
        <v>481</v>
      </c>
      <c r="N178" s="12">
        <f>DAY(InputData[[#This Row],[DATE]])</f>
        <v>20</v>
      </c>
      <c r="O178" s="12" t="str">
        <f>TEXT(InputData[[#This Row],[DATE]],"mmm")</f>
        <v>Aug</v>
      </c>
      <c r="P178" s="12">
        <f>YEAR(InputData[[#This Row],[DATE]])</f>
        <v>2021</v>
      </c>
      <c r="Q178" s="12"/>
    </row>
    <row r="179" spans="1:17" x14ac:dyDescent="0.3">
      <c r="A179" s="10">
        <v>44434</v>
      </c>
      <c r="B179" s="11" t="s">
        <v>88</v>
      </c>
      <c r="C179" s="12">
        <v>4</v>
      </c>
      <c r="D179" s="12" t="s">
        <v>108</v>
      </c>
      <c r="E179" s="12" t="s">
        <v>106</v>
      </c>
      <c r="F179" s="13">
        <v>0</v>
      </c>
      <c r="G179" s="12" t="str">
        <f>VLOOKUP(InputData[[#This Row],[PRODUCT ID]],MasterData[],2,0)</f>
        <v>Product39</v>
      </c>
      <c r="H179" s="12" t="str">
        <f>VLOOKUP(InputData[[#This Row],[PRODUCT ID]],MasterData[],3,0)</f>
        <v>Category05</v>
      </c>
      <c r="I179" s="12" t="str">
        <f>VLOOKUP(InputData[[#This Row],[PRODUCT ID]],MasterData[],4,0)</f>
        <v>No.</v>
      </c>
      <c r="J179" s="14">
        <f>VLOOKUP(InputData[[#This Row],[PRODUCT ID]],MasterData[],5,0)</f>
        <v>37</v>
      </c>
      <c r="K179" s="14">
        <f>VLOOKUP(InputData[[#This Row],[PRODUCT ID]],MasterData[],5,0)</f>
        <v>37</v>
      </c>
      <c r="L179" s="14">
        <f>InputData[[#This Row],[BUYING PRIZE]]*InputData[[#This Row],[QUANTITY]]</f>
        <v>148</v>
      </c>
      <c r="M179" s="14">
        <f>InputData[[#This Row],[SELLING PRICE]]*InputData[[#This Row],[QUANTITY]]*(1-InputData[[#This Row],[DISCOUNT %]])</f>
        <v>148</v>
      </c>
      <c r="N179" s="12">
        <f>DAY(InputData[[#This Row],[DATE]])</f>
        <v>26</v>
      </c>
      <c r="O179" s="12" t="str">
        <f>TEXT(InputData[[#This Row],[DATE]],"mmm")</f>
        <v>Aug</v>
      </c>
      <c r="P179" s="12">
        <f>YEAR(InputData[[#This Row],[DATE]])</f>
        <v>2021</v>
      </c>
      <c r="Q179" s="12"/>
    </row>
    <row r="180" spans="1:17" x14ac:dyDescent="0.3">
      <c r="A180" s="10">
        <v>44437</v>
      </c>
      <c r="B180" s="11" t="s">
        <v>77</v>
      </c>
      <c r="C180" s="12">
        <v>12</v>
      </c>
      <c r="D180" s="12" t="s">
        <v>105</v>
      </c>
      <c r="E180" s="12" t="s">
        <v>106</v>
      </c>
      <c r="F180" s="13">
        <v>0</v>
      </c>
      <c r="G180" s="12" t="str">
        <f>VLOOKUP(InputData[[#This Row],[PRODUCT ID]],MasterData[],2,0)</f>
        <v>Product34</v>
      </c>
      <c r="H180" s="12" t="str">
        <f>VLOOKUP(InputData[[#This Row],[PRODUCT ID]],MasterData[],3,0)</f>
        <v>Category04</v>
      </c>
      <c r="I180" s="12" t="str">
        <f>VLOOKUP(InputData[[#This Row],[PRODUCT ID]],MasterData[],4,0)</f>
        <v>Lt</v>
      </c>
      <c r="J180" s="14">
        <f>VLOOKUP(InputData[[#This Row],[PRODUCT ID]],MasterData[],5,0)</f>
        <v>55</v>
      </c>
      <c r="K180" s="14">
        <f>VLOOKUP(InputData[[#This Row],[PRODUCT ID]],MasterData[],5,0)</f>
        <v>55</v>
      </c>
      <c r="L180" s="14">
        <f>InputData[[#This Row],[BUYING PRIZE]]*InputData[[#This Row],[QUANTITY]]</f>
        <v>660</v>
      </c>
      <c r="M180" s="14">
        <f>InputData[[#This Row],[SELLING PRICE]]*InputData[[#This Row],[QUANTITY]]*(1-InputData[[#This Row],[DISCOUNT %]])</f>
        <v>660</v>
      </c>
      <c r="N180" s="12">
        <f>DAY(InputData[[#This Row],[DATE]])</f>
        <v>29</v>
      </c>
      <c r="O180" s="12" t="str">
        <f>TEXT(InputData[[#This Row],[DATE]],"mmm")</f>
        <v>Aug</v>
      </c>
      <c r="P180" s="12">
        <f>YEAR(InputData[[#This Row],[DATE]])</f>
        <v>2021</v>
      </c>
      <c r="Q180" s="12"/>
    </row>
    <row r="181" spans="1:17" x14ac:dyDescent="0.3">
      <c r="A181" s="10">
        <v>44438</v>
      </c>
      <c r="B181" s="11" t="s">
        <v>33</v>
      </c>
      <c r="C181" s="12">
        <v>13</v>
      </c>
      <c r="D181" s="12" t="s">
        <v>108</v>
      </c>
      <c r="E181" s="12" t="s">
        <v>106</v>
      </c>
      <c r="F181" s="13">
        <v>0</v>
      </c>
      <c r="G181" s="12" t="str">
        <f>VLOOKUP(InputData[[#This Row],[PRODUCT ID]],MasterData[],2,0)</f>
        <v>Product13</v>
      </c>
      <c r="H181" s="12" t="str">
        <f>VLOOKUP(InputData[[#This Row],[PRODUCT ID]],MasterData[],3,0)</f>
        <v>Category02</v>
      </c>
      <c r="I181" s="12" t="str">
        <f>VLOOKUP(InputData[[#This Row],[PRODUCT ID]],MasterData[],4,0)</f>
        <v>Kg</v>
      </c>
      <c r="J181" s="14">
        <f>VLOOKUP(InputData[[#This Row],[PRODUCT ID]],MasterData[],5,0)</f>
        <v>112</v>
      </c>
      <c r="K181" s="14">
        <f>VLOOKUP(InputData[[#This Row],[PRODUCT ID]],MasterData[],5,0)</f>
        <v>112</v>
      </c>
      <c r="L181" s="14">
        <f>InputData[[#This Row],[BUYING PRIZE]]*InputData[[#This Row],[QUANTITY]]</f>
        <v>1456</v>
      </c>
      <c r="M181" s="14">
        <f>InputData[[#This Row],[SELLING PRICE]]*InputData[[#This Row],[QUANTITY]]*(1-InputData[[#This Row],[DISCOUNT %]])</f>
        <v>1456</v>
      </c>
      <c r="N181" s="12">
        <f>DAY(InputData[[#This Row],[DATE]])</f>
        <v>30</v>
      </c>
      <c r="O181" s="12" t="str">
        <f>TEXT(InputData[[#This Row],[DATE]],"mmm")</f>
        <v>Aug</v>
      </c>
      <c r="P181" s="12">
        <f>YEAR(InputData[[#This Row],[DATE]])</f>
        <v>2021</v>
      </c>
      <c r="Q181" s="12"/>
    </row>
    <row r="182" spans="1:17" x14ac:dyDescent="0.3">
      <c r="A182" s="10">
        <v>44439</v>
      </c>
      <c r="B182" s="11" t="s">
        <v>6</v>
      </c>
      <c r="C182" s="12">
        <v>2</v>
      </c>
      <c r="D182" s="12" t="s">
        <v>108</v>
      </c>
      <c r="E182" s="12" t="s">
        <v>106</v>
      </c>
      <c r="F182" s="13">
        <v>0</v>
      </c>
      <c r="G182" s="12" t="str">
        <f>VLOOKUP(InputData[[#This Row],[PRODUCT ID]],MasterData[],2,0)</f>
        <v>Product01</v>
      </c>
      <c r="H182" s="12" t="str">
        <f>VLOOKUP(InputData[[#This Row],[PRODUCT ID]],MasterData[],3,0)</f>
        <v>Category01</v>
      </c>
      <c r="I182" s="12" t="str">
        <f>VLOOKUP(InputData[[#This Row],[PRODUCT ID]],MasterData[],4,0)</f>
        <v>Kg</v>
      </c>
      <c r="J182" s="14">
        <f>VLOOKUP(InputData[[#This Row],[PRODUCT ID]],MasterData[],5,0)</f>
        <v>98</v>
      </c>
      <c r="K182" s="14">
        <f>VLOOKUP(InputData[[#This Row],[PRODUCT ID]],MasterData[],5,0)</f>
        <v>98</v>
      </c>
      <c r="L182" s="14">
        <f>InputData[[#This Row],[BUYING PRIZE]]*InputData[[#This Row],[QUANTITY]]</f>
        <v>196</v>
      </c>
      <c r="M182" s="14">
        <f>InputData[[#This Row],[SELLING PRICE]]*InputData[[#This Row],[QUANTITY]]*(1-InputData[[#This Row],[DISCOUNT %]])</f>
        <v>196</v>
      </c>
      <c r="N182" s="12">
        <f>DAY(InputData[[#This Row],[DATE]])</f>
        <v>31</v>
      </c>
      <c r="O182" s="12" t="str">
        <f>TEXT(InputData[[#This Row],[DATE]],"mmm")</f>
        <v>Aug</v>
      </c>
      <c r="P182" s="12">
        <f>YEAR(InputData[[#This Row],[DATE]])</f>
        <v>2021</v>
      </c>
      <c r="Q182" s="12"/>
    </row>
    <row r="183" spans="1:17" x14ac:dyDescent="0.3">
      <c r="A183" s="10">
        <v>44439</v>
      </c>
      <c r="B183" s="11" t="s">
        <v>79</v>
      </c>
      <c r="C183" s="12">
        <v>11</v>
      </c>
      <c r="D183" s="12" t="s">
        <v>108</v>
      </c>
      <c r="E183" s="12" t="s">
        <v>106</v>
      </c>
      <c r="F183" s="13">
        <v>0</v>
      </c>
      <c r="G183" s="12" t="str">
        <f>VLOOKUP(InputData[[#This Row],[PRODUCT ID]],MasterData[],2,0)</f>
        <v>Product35</v>
      </c>
      <c r="H183" s="12" t="str">
        <f>VLOOKUP(InputData[[#This Row],[PRODUCT ID]],MasterData[],3,0)</f>
        <v>Category04</v>
      </c>
      <c r="I183" s="12" t="str">
        <f>VLOOKUP(InputData[[#This Row],[PRODUCT ID]],MasterData[],4,0)</f>
        <v>No.</v>
      </c>
      <c r="J183" s="14">
        <f>VLOOKUP(InputData[[#This Row],[PRODUCT ID]],MasterData[],5,0)</f>
        <v>5</v>
      </c>
      <c r="K183" s="14">
        <f>VLOOKUP(InputData[[#This Row],[PRODUCT ID]],MasterData[],5,0)</f>
        <v>5</v>
      </c>
      <c r="L183" s="14">
        <f>InputData[[#This Row],[BUYING PRIZE]]*InputData[[#This Row],[QUANTITY]]</f>
        <v>55</v>
      </c>
      <c r="M183" s="14">
        <f>InputData[[#This Row],[SELLING PRICE]]*InputData[[#This Row],[QUANTITY]]*(1-InputData[[#This Row],[DISCOUNT %]])</f>
        <v>55</v>
      </c>
      <c r="N183" s="12">
        <f>DAY(InputData[[#This Row],[DATE]])</f>
        <v>31</v>
      </c>
      <c r="O183" s="12" t="str">
        <f>TEXT(InputData[[#This Row],[DATE]],"mmm")</f>
        <v>Aug</v>
      </c>
      <c r="P183" s="12">
        <f>YEAR(InputData[[#This Row],[DATE]])</f>
        <v>2021</v>
      </c>
      <c r="Q183" s="12"/>
    </row>
    <row r="184" spans="1:17" x14ac:dyDescent="0.3">
      <c r="A184" s="10">
        <v>44440</v>
      </c>
      <c r="B184" s="11" t="s">
        <v>56</v>
      </c>
      <c r="C184" s="12">
        <v>1</v>
      </c>
      <c r="D184" s="12" t="s">
        <v>105</v>
      </c>
      <c r="E184" s="12" t="s">
        <v>107</v>
      </c>
      <c r="F184" s="13">
        <v>0</v>
      </c>
      <c r="G184" s="12" t="str">
        <f>VLOOKUP(InputData[[#This Row],[PRODUCT ID]],MasterData[],2,0)</f>
        <v>Product24</v>
      </c>
      <c r="H184" s="12" t="str">
        <f>VLOOKUP(InputData[[#This Row],[PRODUCT ID]],MasterData[],3,0)</f>
        <v>Category03</v>
      </c>
      <c r="I184" s="12" t="str">
        <f>VLOOKUP(InputData[[#This Row],[PRODUCT ID]],MasterData[],4,0)</f>
        <v>Ft</v>
      </c>
      <c r="J184" s="14">
        <f>VLOOKUP(InputData[[#This Row],[PRODUCT ID]],MasterData[],5,0)</f>
        <v>144</v>
      </c>
      <c r="K184" s="14">
        <f>VLOOKUP(InputData[[#This Row],[PRODUCT ID]],MasterData[],5,0)</f>
        <v>144</v>
      </c>
      <c r="L184" s="14">
        <f>InputData[[#This Row],[BUYING PRIZE]]*InputData[[#This Row],[QUANTITY]]</f>
        <v>144</v>
      </c>
      <c r="M184" s="14">
        <f>InputData[[#This Row],[SELLING PRICE]]*InputData[[#This Row],[QUANTITY]]*(1-InputData[[#This Row],[DISCOUNT %]])</f>
        <v>144</v>
      </c>
      <c r="N184" s="12">
        <f>DAY(InputData[[#This Row],[DATE]])</f>
        <v>1</v>
      </c>
      <c r="O184" s="12" t="str">
        <f>TEXT(InputData[[#This Row],[DATE]],"mmm")</f>
        <v>Sep</v>
      </c>
      <c r="P184" s="12">
        <f>YEAR(InputData[[#This Row],[DATE]])</f>
        <v>2021</v>
      </c>
      <c r="Q184" s="12"/>
    </row>
    <row r="185" spans="1:17" x14ac:dyDescent="0.3">
      <c r="A185" s="10">
        <v>44440</v>
      </c>
      <c r="B185" s="11" t="s">
        <v>12</v>
      </c>
      <c r="C185" s="12">
        <v>14</v>
      </c>
      <c r="D185" s="12" t="s">
        <v>106</v>
      </c>
      <c r="E185" s="12" t="s">
        <v>106</v>
      </c>
      <c r="F185" s="13">
        <v>0</v>
      </c>
      <c r="G185" s="12" t="str">
        <f>VLOOKUP(InputData[[#This Row],[PRODUCT ID]],MasterData[],2,0)</f>
        <v>Product03</v>
      </c>
      <c r="H185" s="12" t="str">
        <f>VLOOKUP(InputData[[#This Row],[PRODUCT ID]],MasterData[],3,0)</f>
        <v>Category01</v>
      </c>
      <c r="I185" s="12" t="str">
        <f>VLOOKUP(InputData[[#This Row],[PRODUCT ID]],MasterData[],4,0)</f>
        <v>Kg</v>
      </c>
      <c r="J185" s="14">
        <f>VLOOKUP(InputData[[#This Row],[PRODUCT ID]],MasterData[],5,0)</f>
        <v>71</v>
      </c>
      <c r="K185" s="14">
        <f>VLOOKUP(InputData[[#This Row],[PRODUCT ID]],MasterData[],5,0)</f>
        <v>71</v>
      </c>
      <c r="L185" s="14">
        <f>InputData[[#This Row],[BUYING PRIZE]]*InputData[[#This Row],[QUANTITY]]</f>
        <v>994</v>
      </c>
      <c r="M185" s="14">
        <f>InputData[[#This Row],[SELLING PRICE]]*InputData[[#This Row],[QUANTITY]]*(1-InputData[[#This Row],[DISCOUNT %]])</f>
        <v>994</v>
      </c>
      <c r="N185" s="12">
        <f>DAY(InputData[[#This Row],[DATE]])</f>
        <v>1</v>
      </c>
      <c r="O185" s="12" t="str">
        <f>TEXT(InputData[[#This Row],[DATE]],"mmm")</f>
        <v>Sep</v>
      </c>
      <c r="P185" s="12">
        <f>YEAR(InputData[[#This Row],[DATE]])</f>
        <v>2021</v>
      </c>
      <c r="Q185" s="12"/>
    </row>
    <row r="186" spans="1:17" x14ac:dyDescent="0.3">
      <c r="A186" s="10">
        <v>44442</v>
      </c>
      <c r="B186" s="11" t="s">
        <v>92</v>
      </c>
      <c r="C186" s="12">
        <v>8</v>
      </c>
      <c r="D186" s="12" t="s">
        <v>108</v>
      </c>
      <c r="E186" s="12" t="s">
        <v>106</v>
      </c>
      <c r="F186" s="13">
        <v>0</v>
      </c>
      <c r="G186" s="12" t="str">
        <f>VLOOKUP(InputData[[#This Row],[PRODUCT ID]],MasterData[],2,0)</f>
        <v>Product41</v>
      </c>
      <c r="H186" s="12" t="str">
        <f>VLOOKUP(InputData[[#This Row],[PRODUCT ID]],MasterData[],3,0)</f>
        <v>Category05</v>
      </c>
      <c r="I186" s="12" t="str">
        <f>VLOOKUP(InputData[[#This Row],[PRODUCT ID]],MasterData[],4,0)</f>
        <v>Ft</v>
      </c>
      <c r="J186" s="14">
        <f>VLOOKUP(InputData[[#This Row],[PRODUCT ID]],MasterData[],5,0)</f>
        <v>138</v>
      </c>
      <c r="K186" s="14">
        <f>VLOOKUP(InputData[[#This Row],[PRODUCT ID]],MasterData[],5,0)</f>
        <v>138</v>
      </c>
      <c r="L186" s="14">
        <f>InputData[[#This Row],[BUYING PRIZE]]*InputData[[#This Row],[QUANTITY]]</f>
        <v>1104</v>
      </c>
      <c r="M186" s="14">
        <f>InputData[[#This Row],[SELLING PRICE]]*InputData[[#This Row],[QUANTITY]]*(1-InputData[[#This Row],[DISCOUNT %]])</f>
        <v>1104</v>
      </c>
      <c r="N186" s="12">
        <f>DAY(InputData[[#This Row],[DATE]])</f>
        <v>3</v>
      </c>
      <c r="O186" s="12" t="str">
        <f>TEXT(InputData[[#This Row],[DATE]],"mmm")</f>
        <v>Sep</v>
      </c>
      <c r="P186" s="12">
        <f>YEAR(InputData[[#This Row],[DATE]])</f>
        <v>2021</v>
      </c>
      <c r="Q186" s="12"/>
    </row>
    <row r="187" spans="1:17" x14ac:dyDescent="0.3">
      <c r="A187" s="10">
        <v>44443</v>
      </c>
      <c r="B187" s="11" t="s">
        <v>65</v>
      </c>
      <c r="C187" s="12">
        <v>7</v>
      </c>
      <c r="D187" s="12" t="s">
        <v>108</v>
      </c>
      <c r="E187" s="12" t="s">
        <v>106</v>
      </c>
      <c r="F187" s="13">
        <v>0</v>
      </c>
      <c r="G187" s="12" t="str">
        <f>VLOOKUP(InputData[[#This Row],[PRODUCT ID]],MasterData[],2,0)</f>
        <v>Product28</v>
      </c>
      <c r="H187" s="12" t="str">
        <f>VLOOKUP(InputData[[#This Row],[PRODUCT ID]],MasterData[],3,0)</f>
        <v>Category04</v>
      </c>
      <c r="I187" s="12" t="str">
        <f>VLOOKUP(InputData[[#This Row],[PRODUCT ID]],MasterData[],4,0)</f>
        <v>No.</v>
      </c>
      <c r="J187" s="14">
        <f>VLOOKUP(InputData[[#This Row],[PRODUCT ID]],MasterData[],5,0)</f>
        <v>37</v>
      </c>
      <c r="K187" s="14">
        <f>VLOOKUP(InputData[[#This Row],[PRODUCT ID]],MasterData[],5,0)</f>
        <v>37</v>
      </c>
      <c r="L187" s="14">
        <f>InputData[[#This Row],[BUYING PRIZE]]*InputData[[#This Row],[QUANTITY]]</f>
        <v>259</v>
      </c>
      <c r="M187" s="14">
        <f>InputData[[#This Row],[SELLING PRICE]]*InputData[[#This Row],[QUANTITY]]*(1-InputData[[#This Row],[DISCOUNT %]])</f>
        <v>259</v>
      </c>
      <c r="N187" s="12">
        <f>DAY(InputData[[#This Row],[DATE]])</f>
        <v>4</v>
      </c>
      <c r="O187" s="12" t="str">
        <f>TEXT(InputData[[#This Row],[DATE]],"mmm")</f>
        <v>Sep</v>
      </c>
      <c r="P187" s="12">
        <f>YEAR(InputData[[#This Row],[DATE]])</f>
        <v>2021</v>
      </c>
      <c r="Q187" s="12"/>
    </row>
    <row r="188" spans="1:17" x14ac:dyDescent="0.3">
      <c r="A188" s="10">
        <v>44443</v>
      </c>
      <c r="B188" s="11" t="s">
        <v>54</v>
      </c>
      <c r="C188" s="12">
        <v>15</v>
      </c>
      <c r="D188" s="12" t="s">
        <v>108</v>
      </c>
      <c r="E188" s="12" t="s">
        <v>106</v>
      </c>
      <c r="F188" s="13">
        <v>0</v>
      </c>
      <c r="G188" s="12" t="str">
        <f>VLOOKUP(InputData[[#This Row],[PRODUCT ID]],MasterData[],2,0)</f>
        <v>Product23</v>
      </c>
      <c r="H188" s="12" t="str">
        <f>VLOOKUP(InputData[[#This Row],[PRODUCT ID]],MasterData[],3,0)</f>
        <v>Category03</v>
      </c>
      <c r="I188" s="12" t="str">
        <f>VLOOKUP(InputData[[#This Row],[PRODUCT ID]],MasterData[],4,0)</f>
        <v>Ft</v>
      </c>
      <c r="J188" s="14">
        <f>VLOOKUP(InputData[[#This Row],[PRODUCT ID]],MasterData[],5,0)</f>
        <v>141</v>
      </c>
      <c r="K188" s="14">
        <f>VLOOKUP(InputData[[#This Row],[PRODUCT ID]],MasterData[],5,0)</f>
        <v>141</v>
      </c>
      <c r="L188" s="14">
        <f>InputData[[#This Row],[BUYING PRIZE]]*InputData[[#This Row],[QUANTITY]]</f>
        <v>2115</v>
      </c>
      <c r="M188" s="14">
        <f>InputData[[#This Row],[SELLING PRICE]]*InputData[[#This Row],[QUANTITY]]*(1-InputData[[#This Row],[DISCOUNT %]])</f>
        <v>2115</v>
      </c>
      <c r="N188" s="12">
        <f>DAY(InputData[[#This Row],[DATE]])</f>
        <v>4</v>
      </c>
      <c r="O188" s="12" t="str">
        <f>TEXT(InputData[[#This Row],[DATE]],"mmm")</f>
        <v>Sep</v>
      </c>
      <c r="P188" s="12">
        <f>YEAR(InputData[[#This Row],[DATE]])</f>
        <v>2021</v>
      </c>
      <c r="Q188" s="12"/>
    </row>
    <row r="189" spans="1:17" x14ac:dyDescent="0.3">
      <c r="A189" s="10">
        <v>44444</v>
      </c>
      <c r="B189" s="11" t="s">
        <v>73</v>
      </c>
      <c r="C189" s="12">
        <v>1</v>
      </c>
      <c r="D189" s="12" t="s">
        <v>108</v>
      </c>
      <c r="E189" s="12" t="s">
        <v>107</v>
      </c>
      <c r="F189" s="13">
        <v>0</v>
      </c>
      <c r="G189" s="12" t="str">
        <f>VLOOKUP(InputData[[#This Row],[PRODUCT ID]],MasterData[],2,0)</f>
        <v>Product32</v>
      </c>
      <c r="H189" s="12" t="str">
        <f>VLOOKUP(InputData[[#This Row],[PRODUCT ID]],MasterData[],3,0)</f>
        <v>Category04</v>
      </c>
      <c r="I189" s="12" t="str">
        <f>VLOOKUP(InputData[[#This Row],[PRODUCT ID]],MasterData[],4,0)</f>
        <v>Kg</v>
      </c>
      <c r="J189" s="14">
        <f>VLOOKUP(InputData[[#This Row],[PRODUCT ID]],MasterData[],5,0)</f>
        <v>89</v>
      </c>
      <c r="K189" s="14">
        <f>VLOOKUP(InputData[[#This Row],[PRODUCT ID]],MasterData[],5,0)</f>
        <v>89</v>
      </c>
      <c r="L189" s="14">
        <f>InputData[[#This Row],[BUYING PRIZE]]*InputData[[#This Row],[QUANTITY]]</f>
        <v>89</v>
      </c>
      <c r="M189" s="14">
        <f>InputData[[#This Row],[SELLING PRICE]]*InputData[[#This Row],[QUANTITY]]*(1-InputData[[#This Row],[DISCOUNT %]])</f>
        <v>89</v>
      </c>
      <c r="N189" s="12">
        <f>DAY(InputData[[#This Row],[DATE]])</f>
        <v>5</v>
      </c>
      <c r="O189" s="12" t="str">
        <f>TEXT(InputData[[#This Row],[DATE]],"mmm")</f>
        <v>Sep</v>
      </c>
      <c r="P189" s="12">
        <f>YEAR(InputData[[#This Row],[DATE]])</f>
        <v>2021</v>
      </c>
      <c r="Q189" s="12"/>
    </row>
    <row r="190" spans="1:17" x14ac:dyDescent="0.3">
      <c r="A190" s="10">
        <v>44446</v>
      </c>
      <c r="B190" s="11" t="s">
        <v>45</v>
      </c>
      <c r="C190" s="12">
        <v>5</v>
      </c>
      <c r="D190" s="12" t="s">
        <v>108</v>
      </c>
      <c r="E190" s="12" t="s">
        <v>106</v>
      </c>
      <c r="F190" s="13">
        <v>0</v>
      </c>
      <c r="G190" s="12" t="str">
        <f>VLOOKUP(InputData[[#This Row],[PRODUCT ID]],MasterData[],2,0)</f>
        <v>Product19</v>
      </c>
      <c r="H190" s="12" t="str">
        <f>VLOOKUP(InputData[[#This Row],[PRODUCT ID]],MasterData[],3,0)</f>
        <v>Category02</v>
      </c>
      <c r="I190" s="12" t="str">
        <f>VLOOKUP(InputData[[#This Row],[PRODUCT ID]],MasterData[],4,0)</f>
        <v>Ft</v>
      </c>
      <c r="J190" s="14">
        <f>VLOOKUP(InputData[[#This Row],[PRODUCT ID]],MasterData[],5,0)</f>
        <v>150</v>
      </c>
      <c r="K190" s="14">
        <f>VLOOKUP(InputData[[#This Row],[PRODUCT ID]],MasterData[],5,0)</f>
        <v>150</v>
      </c>
      <c r="L190" s="14">
        <f>InputData[[#This Row],[BUYING PRIZE]]*InputData[[#This Row],[QUANTITY]]</f>
        <v>750</v>
      </c>
      <c r="M190" s="14">
        <f>InputData[[#This Row],[SELLING PRICE]]*InputData[[#This Row],[QUANTITY]]*(1-InputData[[#This Row],[DISCOUNT %]])</f>
        <v>750</v>
      </c>
      <c r="N190" s="12">
        <f>DAY(InputData[[#This Row],[DATE]])</f>
        <v>7</v>
      </c>
      <c r="O190" s="12" t="str">
        <f>TEXT(InputData[[#This Row],[DATE]],"mmm")</f>
        <v>Sep</v>
      </c>
      <c r="P190" s="12">
        <f>YEAR(InputData[[#This Row],[DATE]])</f>
        <v>2021</v>
      </c>
      <c r="Q190" s="12"/>
    </row>
    <row r="191" spans="1:17" x14ac:dyDescent="0.3">
      <c r="A191" s="10">
        <v>44448</v>
      </c>
      <c r="B191" s="11" t="s">
        <v>98</v>
      </c>
      <c r="C191" s="12">
        <v>4</v>
      </c>
      <c r="D191" s="12" t="s">
        <v>108</v>
      </c>
      <c r="E191" s="12" t="s">
        <v>106</v>
      </c>
      <c r="F191" s="13">
        <v>0</v>
      </c>
      <c r="G191" s="12" t="str">
        <f>VLOOKUP(InputData[[#This Row],[PRODUCT ID]],MasterData[],2,0)</f>
        <v>Product44</v>
      </c>
      <c r="H191" s="12" t="str">
        <f>VLOOKUP(InputData[[#This Row],[PRODUCT ID]],MasterData[],3,0)</f>
        <v>Category05</v>
      </c>
      <c r="I191" s="12" t="str">
        <f>VLOOKUP(InputData[[#This Row],[PRODUCT ID]],MasterData[],4,0)</f>
        <v>Kg</v>
      </c>
      <c r="J191" s="14">
        <f>VLOOKUP(InputData[[#This Row],[PRODUCT ID]],MasterData[],5,0)</f>
        <v>76</v>
      </c>
      <c r="K191" s="14">
        <f>VLOOKUP(InputData[[#This Row],[PRODUCT ID]],MasterData[],5,0)</f>
        <v>76</v>
      </c>
      <c r="L191" s="14">
        <f>InputData[[#This Row],[BUYING PRIZE]]*InputData[[#This Row],[QUANTITY]]</f>
        <v>304</v>
      </c>
      <c r="M191" s="14">
        <f>InputData[[#This Row],[SELLING PRICE]]*InputData[[#This Row],[QUANTITY]]*(1-InputData[[#This Row],[DISCOUNT %]])</f>
        <v>304</v>
      </c>
      <c r="N191" s="12">
        <f>DAY(InputData[[#This Row],[DATE]])</f>
        <v>9</v>
      </c>
      <c r="O191" s="12" t="str">
        <f>TEXT(InputData[[#This Row],[DATE]],"mmm")</f>
        <v>Sep</v>
      </c>
      <c r="P191" s="12">
        <f>YEAR(InputData[[#This Row],[DATE]])</f>
        <v>2021</v>
      </c>
      <c r="Q191" s="12"/>
    </row>
    <row r="192" spans="1:17" x14ac:dyDescent="0.3">
      <c r="A192" s="10">
        <v>44449</v>
      </c>
      <c r="B192" s="11" t="s">
        <v>69</v>
      </c>
      <c r="C192" s="12">
        <v>6</v>
      </c>
      <c r="D192" s="12" t="s">
        <v>108</v>
      </c>
      <c r="E192" s="12" t="s">
        <v>106</v>
      </c>
      <c r="F192" s="13">
        <v>0</v>
      </c>
      <c r="G192" s="12" t="str">
        <f>VLOOKUP(InputData[[#This Row],[PRODUCT ID]],MasterData[],2,0)</f>
        <v>Product30</v>
      </c>
      <c r="H192" s="12" t="str">
        <f>VLOOKUP(InputData[[#This Row],[PRODUCT ID]],MasterData[],3,0)</f>
        <v>Category04</v>
      </c>
      <c r="I192" s="12" t="str">
        <f>VLOOKUP(InputData[[#This Row],[PRODUCT ID]],MasterData[],4,0)</f>
        <v>Ft</v>
      </c>
      <c r="J192" s="14">
        <f>VLOOKUP(InputData[[#This Row],[PRODUCT ID]],MasterData[],5,0)</f>
        <v>148</v>
      </c>
      <c r="K192" s="14">
        <f>VLOOKUP(InputData[[#This Row],[PRODUCT ID]],MasterData[],5,0)</f>
        <v>148</v>
      </c>
      <c r="L192" s="14">
        <f>InputData[[#This Row],[BUYING PRIZE]]*InputData[[#This Row],[QUANTITY]]</f>
        <v>888</v>
      </c>
      <c r="M192" s="14">
        <f>InputData[[#This Row],[SELLING PRICE]]*InputData[[#This Row],[QUANTITY]]*(1-InputData[[#This Row],[DISCOUNT %]])</f>
        <v>888</v>
      </c>
      <c r="N192" s="12">
        <f>DAY(InputData[[#This Row],[DATE]])</f>
        <v>10</v>
      </c>
      <c r="O192" s="12" t="str">
        <f>TEXT(InputData[[#This Row],[DATE]],"mmm")</f>
        <v>Sep</v>
      </c>
      <c r="P192" s="12">
        <f>YEAR(InputData[[#This Row],[DATE]])</f>
        <v>2021</v>
      </c>
      <c r="Q192" s="12"/>
    </row>
    <row r="193" spans="1:17" x14ac:dyDescent="0.3">
      <c r="A193" s="10">
        <v>44449</v>
      </c>
      <c r="B193" s="11" t="s">
        <v>6</v>
      </c>
      <c r="C193" s="12">
        <v>9</v>
      </c>
      <c r="D193" s="12" t="s">
        <v>105</v>
      </c>
      <c r="E193" s="12" t="s">
        <v>106</v>
      </c>
      <c r="F193" s="13">
        <v>0</v>
      </c>
      <c r="G193" s="12" t="str">
        <f>VLOOKUP(InputData[[#This Row],[PRODUCT ID]],MasterData[],2,0)</f>
        <v>Product01</v>
      </c>
      <c r="H193" s="12" t="str">
        <f>VLOOKUP(InputData[[#This Row],[PRODUCT ID]],MasterData[],3,0)</f>
        <v>Category01</v>
      </c>
      <c r="I193" s="12" t="str">
        <f>VLOOKUP(InputData[[#This Row],[PRODUCT ID]],MasterData[],4,0)</f>
        <v>Kg</v>
      </c>
      <c r="J193" s="14">
        <f>VLOOKUP(InputData[[#This Row],[PRODUCT ID]],MasterData[],5,0)</f>
        <v>98</v>
      </c>
      <c r="K193" s="14">
        <f>VLOOKUP(InputData[[#This Row],[PRODUCT ID]],MasterData[],5,0)</f>
        <v>98</v>
      </c>
      <c r="L193" s="14">
        <f>InputData[[#This Row],[BUYING PRIZE]]*InputData[[#This Row],[QUANTITY]]</f>
        <v>882</v>
      </c>
      <c r="M193" s="14">
        <f>InputData[[#This Row],[SELLING PRICE]]*InputData[[#This Row],[QUANTITY]]*(1-InputData[[#This Row],[DISCOUNT %]])</f>
        <v>882</v>
      </c>
      <c r="N193" s="12">
        <f>DAY(InputData[[#This Row],[DATE]])</f>
        <v>10</v>
      </c>
      <c r="O193" s="12" t="str">
        <f>TEXT(InputData[[#This Row],[DATE]],"mmm")</f>
        <v>Sep</v>
      </c>
      <c r="P193" s="12">
        <f>YEAR(InputData[[#This Row],[DATE]])</f>
        <v>2021</v>
      </c>
      <c r="Q193" s="12"/>
    </row>
    <row r="194" spans="1:17" x14ac:dyDescent="0.3">
      <c r="A194" s="10">
        <v>44449</v>
      </c>
      <c r="B194" s="11" t="s">
        <v>60</v>
      </c>
      <c r="C194" s="12">
        <v>2</v>
      </c>
      <c r="D194" s="12" t="s">
        <v>108</v>
      </c>
      <c r="E194" s="12" t="s">
        <v>106</v>
      </c>
      <c r="F194" s="13">
        <v>0</v>
      </c>
      <c r="G194" s="12" t="str">
        <f>VLOOKUP(InputData[[#This Row],[PRODUCT ID]],MasterData[],2,0)</f>
        <v>Product26</v>
      </c>
      <c r="H194" s="12" t="str">
        <f>VLOOKUP(InputData[[#This Row],[PRODUCT ID]],MasterData[],3,0)</f>
        <v>Category04</v>
      </c>
      <c r="I194" s="12" t="str">
        <f>VLOOKUP(InputData[[#This Row],[PRODUCT ID]],MasterData[],4,0)</f>
        <v>No.</v>
      </c>
      <c r="J194" s="14">
        <f>VLOOKUP(InputData[[#This Row],[PRODUCT ID]],MasterData[],5,0)</f>
        <v>18</v>
      </c>
      <c r="K194" s="14">
        <f>VLOOKUP(InputData[[#This Row],[PRODUCT ID]],MasterData[],5,0)</f>
        <v>18</v>
      </c>
      <c r="L194" s="14">
        <f>InputData[[#This Row],[BUYING PRIZE]]*InputData[[#This Row],[QUANTITY]]</f>
        <v>36</v>
      </c>
      <c r="M194" s="14">
        <f>InputData[[#This Row],[SELLING PRICE]]*InputData[[#This Row],[QUANTITY]]*(1-InputData[[#This Row],[DISCOUNT %]])</f>
        <v>36</v>
      </c>
      <c r="N194" s="12">
        <f>DAY(InputData[[#This Row],[DATE]])</f>
        <v>10</v>
      </c>
      <c r="O194" s="12" t="str">
        <f>TEXT(InputData[[#This Row],[DATE]],"mmm")</f>
        <v>Sep</v>
      </c>
      <c r="P194" s="12">
        <f>YEAR(InputData[[#This Row],[DATE]])</f>
        <v>2021</v>
      </c>
      <c r="Q194" s="12"/>
    </row>
    <row r="195" spans="1:17" x14ac:dyDescent="0.3">
      <c r="A195" s="10">
        <v>44450</v>
      </c>
      <c r="B195" s="11" t="s">
        <v>6</v>
      </c>
      <c r="C195" s="12">
        <v>6</v>
      </c>
      <c r="D195" s="12" t="s">
        <v>105</v>
      </c>
      <c r="E195" s="12" t="s">
        <v>106</v>
      </c>
      <c r="F195" s="13">
        <v>0</v>
      </c>
      <c r="G195" s="12" t="str">
        <f>VLOOKUP(InputData[[#This Row],[PRODUCT ID]],MasterData[],2,0)</f>
        <v>Product01</v>
      </c>
      <c r="H195" s="12" t="str">
        <f>VLOOKUP(InputData[[#This Row],[PRODUCT ID]],MasterData[],3,0)</f>
        <v>Category01</v>
      </c>
      <c r="I195" s="12" t="str">
        <f>VLOOKUP(InputData[[#This Row],[PRODUCT ID]],MasterData[],4,0)</f>
        <v>Kg</v>
      </c>
      <c r="J195" s="14">
        <f>VLOOKUP(InputData[[#This Row],[PRODUCT ID]],MasterData[],5,0)</f>
        <v>98</v>
      </c>
      <c r="K195" s="14">
        <f>VLOOKUP(InputData[[#This Row],[PRODUCT ID]],MasterData[],5,0)</f>
        <v>98</v>
      </c>
      <c r="L195" s="14">
        <f>InputData[[#This Row],[BUYING PRIZE]]*InputData[[#This Row],[QUANTITY]]</f>
        <v>588</v>
      </c>
      <c r="M195" s="14">
        <f>InputData[[#This Row],[SELLING PRICE]]*InputData[[#This Row],[QUANTITY]]*(1-InputData[[#This Row],[DISCOUNT %]])</f>
        <v>588</v>
      </c>
      <c r="N195" s="12">
        <f>DAY(InputData[[#This Row],[DATE]])</f>
        <v>11</v>
      </c>
      <c r="O195" s="12" t="str">
        <f>TEXT(InputData[[#This Row],[DATE]],"mmm")</f>
        <v>Sep</v>
      </c>
      <c r="P195" s="12">
        <f>YEAR(InputData[[#This Row],[DATE]])</f>
        <v>2021</v>
      </c>
      <c r="Q195" s="12"/>
    </row>
    <row r="196" spans="1:17" x14ac:dyDescent="0.3">
      <c r="A196" s="10">
        <v>44452</v>
      </c>
      <c r="B196" s="11" t="s">
        <v>92</v>
      </c>
      <c r="C196" s="12">
        <v>7</v>
      </c>
      <c r="D196" s="12" t="s">
        <v>108</v>
      </c>
      <c r="E196" s="12" t="s">
        <v>107</v>
      </c>
      <c r="F196" s="13">
        <v>0</v>
      </c>
      <c r="G196" s="12" t="str">
        <f>VLOOKUP(InputData[[#This Row],[PRODUCT ID]],MasterData[],2,0)</f>
        <v>Product41</v>
      </c>
      <c r="H196" s="12" t="str">
        <f>VLOOKUP(InputData[[#This Row],[PRODUCT ID]],MasterData[],3,0)</f>
        <v>Category05</v>
      </c>
      <c r="I196" s="12" t="str">
        <f>VLOOKUP(InputData[[#This Row],[PRODUCT ID]],MasterData[],4,0)</f>
        <v>Ft</v>
      </c>
      <c r="J196" s="14">
        <f>VLOOKUP(InputData[[#This Row],[PRODUCT ID]],MasterData[],5,0)</f>
        <v>138</v>
      </c>
      <c r="K196" s="14">
        <f>VLOOKUP(InputData[[#This Row],[PRODUCT ID]],MasterData[],5,0)</f>
        <v>138</v>
      </c>
      <c r="L196" s="14">
        <f>InputData[[#This Row],[BUYING PRIZE]]*InputData[[#This Row],[QUANTITY]]</f>
        <v>966</v>
      </c>
      <c r="M196" s="14">
        <f>InputData[[#This Row],[SELLING PRICE]]*InputData[[#This Row],[QUANTITY]]*(1-InputData[[#This Row],[DISCOUNT %]])</f>
        <v>966</v>
      </c>
      <c r="N196" s="12">
        <f>DAY(InputData[[#This Row],[DATE]])</f>
        <v>13</v>
      </c>
      <c r="O196" s="12" t="str">
        <f>TEXT(InputData[[#This Row],[DATE]],"mmm")</f>
        <v>Sep</v>
      </c>
      <c r="P196" s="12">
        <f>YEAR(InputData[[#This Row],[DATE]])</f>
        <v>2021</v>
      </c>
      <c r="Q196" s="12"/>
    </row>
    <row r="197" spans="1:17" x14ac:dyDescent="0.3">
      <c r="A197" s="10">
        <v>44454</v>
      </c>
      <c r="B197" s="11" t="s">
        <v>94</v>
      </c>
      <c r="C197" s="12">
        <v>6</v>
      </c>
      <c r="D197" s="12" t="s">
        <v>108</v>
      </c>
      <c r="E197" s="12" t="s">
        <v>106</v>
      </c>
      <c r="F197" s="13">
        <v>0</v>
      </c>
      <c r="G197" s="12" t="str">
        <f>VLOOKUP(InputData[[#This Row],[PRODUCT ID]],MasterData[],2,0)</f>
        <v>Product42</v>
      </c>
      <c r="H197" s="12" t="str">
        <f>VLOOKUP(InputData[[#This Row],[PRODUCT ID]],MasterData[],3,0)</f>
        <v>Category05</v>
      </c>
      <c r="I197" s="12" t="str">
        <f>VLOOKUP(InputData[[#This Row],[PRODUCT ID]],MasterData[],4,0)</f>
        <v>Ft</v>
      </c>
      <c r="J197" s="14">
        <f>VLOOKUP(InputData[[#This Row],[PRODUCT ID]],MasterData[],5,0)</f>
        <v>120</v>
      </c>
      <c r="K197" s="14">
        <f>VLOOKUP(InputData[[#This Row],[PRODUCT ID]],MasterData[],5,0)</f>
        <v>120</v>
      </c>
      <c r="L197" s="14">
        <f>InputData[[#This Row],[BUYING PRIZE]]*InputData[[#This Row],[QUANTITY]]</f>
        <v>720</v>
      </c>
      <c r="M197" s="14">
        <f>InputData[[#This Row],[SELLING PRICE]]*InputData[[#This Row],[QUANTITY]]*(1-InputData[[#This Row],[DISCOUNT %]])</f>
        <v>720</v>
      </c>
      <c r="N197" s="12">
        <f>DAY(InputData[[#This Row],[DATE]])</f>
        <v>15</v>
      </c>
      <c r="O197" s="12" t="str">
        <f>TEXT(InputData[[#This Row],[DATE]],"mmm")</f>
        <v>Sep</v>
      </c>
      <c r="P197" s="12">
        <f>YEAR(InputData[[#This Row],[DATE]])</f>
        <v>2021</v>
      </c>
      <c r="Q197" s="12"/>
    </row>
    <row r="198" spans="1:17" x14ac:dyDescent="0.3">
      <c r="A198" s="10">
        <v>44454</v>
      </c>
      <c r="B198" s="11" t="s">
        <v>94</v>
      </c>
      <c r="C198" s="12">
        <v>14</v>
      </c>
      <c r="D198" s="12" t="s">
        <v>108</v>
      </c>
      <c r="E198" s="12" t="s">
        <v>106</v>
      </c>
      <c r="F198" s="13">
        <v>0</v>
      </c>
      <c r="G198" s="12" t="str">
        <f>VLOOKUP(InputData[[#This Row],[PRODUCT ID]],MasterData[],2,0)</f>
        <v>Product42</v>
      </c>
      <c r="H198" s="12" t="str">
        <f>VLOOKUP(InputData[[#This Row],[PRODUCT ID]],MasterData[],3,0)</f>
        <v>Category05</v>
      </c>
      <c r="I198" s="12" t="str">
        <f>VLOOKUP(InputData[[#This Row],[PRODUCT ID]],MasterData[],4,0)</f>
        <v>Ft</v>
      </c>
      <c r="J198" s="14">
        <f>VLOOKUP(InputData[[#This Row],[PRODUCT ID]],MasterData[],5,0)</f>
        <v>120</v>
      </c>
      <c r="K198" s="14">
        <f>VLOOKUP(InputData[[#This Row],[PRODUCT ID]],MasterData[],5,0)</f>
        <v>120</v>
      </c>
      <c r="L198" s="14">
        <f>InputData[[#This Row],[BUYING PRIZE]]*InputData[[#This Row],[QUANTITY]]</f>
        <v>1680</v>
      </c>
      <c r="M198" s="14">
        <f>InputData[[#This Row],[SELLING PRICE]]*InputData[[#This Row],[QUANTITY]]*(1-InputData[[#This Row],[DISCOUNT %]])</f>
        <v>1680</v>
      </c>
      <c r="N198" s="12">
        <f>DAY(InputData[[#This Row],[DATE]])</f>
        <v>15</v>
      </c>
      <c r="O198" s="12" t="str">
        <f>TEXT(InputData[[#This Row],[DATE]],"mmm")</f>
        <v>Sep</v>
      </c>
      <c r="P198" s="12">
        <f>YEAR(InputData[[#This Row],[DATE]])</f>
        <v>2021</v>
      </c>
      <c r="Q198" s="12"/>
    </row>
    <row r="199" spans="1:17" x14ac:dyDescent="0.3">
      <c r="A199" s="10">
        <v>44460</v>
      </c>
      <c r="B199" s="11" t="s">
        <v>47</v>
      </c>
      <c r="C199" s="12">
        <v>7</v>
      </c>
      <c r="D199" s="12" t="s">
        <v>105</v>
      </c>
      <c r="E199" s="12" t="s">
        <v>107</v>
      </c>
      <c r="F199" s="13">
        <v>0</v>
      </c>
      <c r="G199" s="12" t="str">
        <f>VLOOKUP(InputData[[#This Row],[PRODUCT ID]],MasterData[],2,0)</f>
        <v>Product20</v>
      </c>
      <c r="H199" s="12" t="str">
        <f>VLOOKUP(InputData[[#This Row],[PRODUCT ID]],MasterData[],3,0)</f>
        <v>Category03</v>
      </c>
      <c r="I199" s="12" t="str">
        <f>VLOOKUP(InputData[[#This Row],[PRODUCT ID]],MasterData[],4,0)</f>
        <v>Lt</v>
      </c>
      <c r="J199" s="14">
        <f>VLOOKUP(InputData[[#This Row],[PRODUCT ID]],MasterData[],5,0)</f>
        <v>61</v>
      </c>
      <c r="K199" s="14">
        <f>VLOOKUP(InputData[[#This Row],[PRODUCT ID]],MasterData[],5,0)</f>
        <v>61</v>
      </c>
      <c r="L199" s="14">
        <f>InputData[[#This Row],[BUYING PRIZE]]*InputData[[#This Row],[QUANTITY]]</f>
        <v>427</v>
      </c>
      <c r="M199" s="14">
        <f>InputData[[#This Row],[SELLING PRICE]]*InputData[[#This Row],[QUANTITY]]*(1-InputData[[#This Row],[DISCOUNT %]])</f>
        <v>427</v>
      </c>
      <c r="N199" s="12">
        <f>DAY(InputData[[#This Row],[DATE]])</f>
        <v>21</v>
      </c>
      <c r="O199" s="12" t="str">
        <f>TEXT(InputData[[#This Row],[DATE]],"mmm")</f>
        <v>Sep</v>
      </c>
      <c r="P199" s="12">
        <f>YEAR(InputData[[#This Row],[DATE]])</f>
        <v>2021</v>
      </c>
      <c r="Q199" s="12"/>
    </row>
    <row r="200" spans="1:17" x14ac:dyDescent="0.3">
      <c r="A200" s="10">
        <v>44461</v>
      </c>
      <c r="B200" s="11" t="s">
        <v>90</v>
      </c>
      <c r="C200" s="12">
        <v>2</v>
      </c>
      <c r="D200" s="12" t="s">
        <v>106</v>
      </c>
      <c r="E200" s="12" t="s">
        <v>107</v>
      </c>
      <c r="F200" s="13">
        <v>0</v>
      </c>
      <c r="G200" s="12" t="str">
        <f>VLOOKUP(InputData[[#This Row],[PRODUCT ID]],MasterData[],2,0)</f>
        <v>Product40</v>
      </c>
      <c r="H200" s="12" t="str">
        <f>VLOOKUP(InputData[[#This Row],[PRODUCT ID]],MasterData[],3,0)</f>
        <v>Category05</v>
      </c>
      <c r="I200" s="12" t="str">
        <f>VLOOKUP(InputData[[#This Row],[PRODUCT ID]],MasterData[],4,0)</f>
        <v>Kg</v>
      </c>
      <c r="J200" s="14">
        <f>VLOOKUP(InputData[[#This Row],[PRODUCT ID]],MasterData[],5,0)</f>
        <v>90</v>
      </c>
      <c r="K200" s="14">
        <f>VLOOKUP(InputData[[#This Row],[PRODUCT ID]],MasterData[],5,0)</f>
        <v>90</v>
      </c>
      <c r="L200" s="14">
        <f>InputData[[#This Row],[BUYING PRIZE]]*InputData[[#This Row],[QUANTITY]]</f>
        <v>180</v>
      </c>
      <c r="M200" s="14">
        <f>InputData[[#This Row],[SELLING PRICE]]*InputData[[#This Row],[QUANTITY]]*(1-InputData[[#This Row],[DISCOUNT %]])</f>
        <v>180</v>
      </c>
      <c r="N200" s="12">
        <f>DAY(InputData[[#This Row],[DATE]])</f>
        <v>22</v>
      </c>
      <c r="O200" s="12" t="str">
        <f>TEXT(InputData[[#This Row],[DATE]],"mmm")</f>
        <v>Sep</v>
      </c>
      <c r="P200" s="12">
        <f>YEAR(InputData[[#This Row],[DATE]])</f>
        <v>2021</v>
      </c>
      <c r="Q200" s="12"/>
    </row>
    <row r="201" spans="1:17" x14ac:dyDescent="0.3">
      <c r="A201" s="10">
        <v>44461</v>
      </c>
      <c r="B201" s="11" t="s">
        <v>10</v>
      </c>
      <c r="C201" s="12">
        <v>4</v>
      </c>
      <c r="D201" s="12" t="s">
        <v>108</v>
      </c>
      <c r="E201" s="12" t="s">
        <v>107</v>
      </c>
      <c r="F201" s="13">
        <v>0</v>
      </c>
      <c r="G201" s="12" t="str">
        <f>VLOOKUP(InputData[[#This Row],[PRODUCT ID]],MasterData[],2,0)</f>
        <v>Product02</v>
      </c>
      <c r="H201" s="12" t="str">
        <f>VLOOKUP(InputData[[#This Row],[PRODUCT ID]],MasterData[],3,0)</f>
        <v>Category01</v>
      </c>
      <c r="I201" s="12" t="str">
        <f>VLOOKUP(InputData[[#This Row],[PRODUCT ID]],MasterData[],4,0)</f>
        <v>Kg</v>
      </c>
      <c r="J201" s="14">
        <f>VLOOKUP(InputData[[#This Row],[PRODUCT ID]],MasterData[],5,0)</f>
        <v>105</v>
      </c>
      <c r="K201" s="14">
        <f>VLOOKUP(InputData[[#This Row],[PRODUCT ID]],MasterData[],5,0)</f>
        <v>105</v>
      </c>
      <c r="L201" s="14">
        <f>InputData[[#This Row],[BUYING PRIZE]]*InputData[[#This Row],[QUANTITY]]</f>
        <v>420</v>
      </c>
      <c r="M201" s="14">
        <f>InputData[[#This Row],[SELLING PRICE]]*InputData[[#This Row],[QUANTITY]]*(1-InputData[[#This Row],[DISCOUNT %]])</f>
        <v>420</v>
      </c>
      <c r="N201" s="12">
        <f>DAY(InputData[[#This Row],[DATE]])</f>
        <v>22</v>
      </c>
      <c r="O201" s="12" t="str">
        <f>TEXT(InputData[[#This Row],[DATE]],"mmm")</f>
        <v>Sep</v>
      </c>
      <c r="P201" s="12">
        <f>YEAR(InputData[[#This Row],[DATE]])</f>
        <v>2021</v>
      </c>
      <c r="Q201" s="12"/>
    </row>
    <row r="202" spans="1:17" x14ac:dyDescent="0.3">
      <c r="A202" s="10">
        <v>44462</v>
      </c>
      <c r="B202" s="11" t="s">
        <v>43</v>
      </c>
      <c r="C202" s="12">
        <v>12</v>
      </c>
      <c r="D202" s="12" t="s">
        <v>108</v>
      </c>
      <c r="E202" s="12" t="s">
        <v>107</v>
      </c>
      <c r="F202" s="13">
        <v>0</v>
      </c>
      <c r="G202" s="12" t="str">
        <f>VLOOKUP(InputData[[#This Row],[PRODUCT ID]],MasterData[],2,0)</f>
        <v>Product18</v>
      </c>
      <c r="H202" s="12" t="str">
        <f>VLOOKUP(InputData[[#This Row],[PRODUCT ID]],MasterData[],3,0)</f>
        <v>Category02</v>
      </c>
      <c r="I202" s="12" t="str">
        <f>VLOOKUP(InputData[[#This Row],[PRODUCT ID]],MasterData[],4,0)</f>
        <v>No.</v>
      </c>
      <c r="J202" s="14">
        <f>VLOOKUP(InputData[[#This Row],[PRODUCT ID]],MasterData[],5,0)</f>
        <v>37</v>
      </c>
      <c r="K202" s="14">
        <f>VLOOKUP(InputData[[#This Row],[PRODUCT ID]],MasterData[],5,0)</f>
        <v>37</v>
      </c>
      <c r="L202" s="14">
        <f>InputData[[#This Row],[BUYING PRIZE]]*InputData[[#This Row],[QUANTITY]]</f>
        <v>444</v>
      </c>
      <c r="M202" s="14">
        <f>InputData[[#This Row],[SELLING PRICE]]*InputData[[#This Row],[QUANTITY]]*(1-InputData[[#This Row],[DISCOUNT %]])</f>
        <v>444</v>
      </c>
      <c r="N202" s="12">
        <f>DAY(InputData[[#This Row],[DATE]])</f>
        <v>23</v>
      </c>
      <c r="O202" s="12" t="str">
        <f>TEXT(InputData[[#This Row],[DATE]],"mmm")</f>
        <v>Sep</v>
      </c>
      <c r="P202" s="12">
        <f>YEAR(InputData[[#This Row],[DATE]])</f>
        <v>2021</v>
      </c>
      <c r="Q202" s="12"/>
    </row>
    <row r="203" spans="1:17" x14ac:dyDescent="0.3">
      <c r="A203" s="10">
        <v>44462</v>
      </c>
      <c r="B203" s="11" t="s">
        <v>50</v>
      </c>
      <c r="C203" s="12">
        <v>7</v>
      </c>
      <c r="D203" s="12" t="s">
        <v>106</v>
      </c>
      <c r="E203" s="12" t="s">
        <v>106</v>
      </c>
      <c r="F203" s="13">
        <v>0</v>
      </c>
      <c r="G203" s="12" t="str">
        <f>VLOOKUP(InputData[[#This Row],[PRODUCT ID]],MasterData[],2,0)</f>
        <v>Product21</v>
      </c>
      <c r="H203" s="12" t="str">
        <f>VLOOKUP(InputData[[#This Row],[PRODUCT ID]],MasterData[],3,0)</f>
        <v>Category03</v>
      </c>
      <c r="I203" s="12" t="str">
        <f>VLOOKUP(InputData[[#This Row],[PRODUCT ID]],MasterData[],4,0)</f>
        <v>Ft</v>
      </c>
      <c r="J203" s="14">
        <f>VLOOKUP(InputData[[#This Row],[PRODUCT ID]],MasterData[],5,0)</f>
        <v>126</v>
      </c>
      <c r="K203" s="14">
        <f>VLOOKUP(InputData[[#This Row],[PRODUCT ID]],MasterData[],5,0)</f>
        <v>126</v>
      </c>
      <c r="L203" s="14">
        <f>InputData[[#This Row],[BUYING PRIZE]]*InputData[[#This Row],[QUANTITY]]</f>
        <v>882</v>
      </c>
      <c r="M203" s="14">
        <f>InputData[[#This Row],[SELLING PRICE]]*InputData[[#This Row],[QUANTITY]]*(1-InputData[[#This Row],[DISCOUNT %]])</f>
        <v>882</v>
      </c>
      <c r="N203" s="12">
        <f>DAY(InputData[[#This Row],[DATE]])</f>
        <v>23</v>
      </c>
      <c r="O203" s="12" t="str">
        <f>TEXT(InputData[[#This Row],[DATE]],"mmm")</f>
        <v>Sep</v>
      </c>
      <c r="P203" s="12">
        <f>YEAR(InputData[[#This Row],[DATE]])</f>
        <v>2021</v>
      </c>
      <c r="Q203" s="12"/>
    </row>
    <row r="204" spans="1:17" x14ac:dyDescent="0.3">
      <c r="A204" s="10">
        <v>44466</v>
      </c>
      <c r="B204" s="11" t="s">
        <v>77</v>
      </c>
      <c r="C204" s="12">
        <v>1</v>
      </c>
      <c r="D204" s="12" t="s">
        <v>108</v>
      </c>
      <c r="E204" s="12" t="s">
        <v>107</v>
      </c>
      <c r="F204" s="13">
        <v>0</v>
      </c>
      <c r="G204" s="12" t="str">
        <f>VLOOKUP(InputData[[#This Row],[PRODUCT ID]],MasterData[],2,0)</f>
        <v>Product34</v>
      </c>
      <c r="H204" s="12" t="str">
        <f>VLOOKUP(InputData[[#This Row],[PRODUCT ID]],MasterData[],3,0)</f>
        <v>Category04</v>
      </c>
      <c r="I204" s="12" t="str">
        <f>VLOOKUP(InputData[[#This Row],[PRODUCT ID]],MasterData[],4,0)</f>
        <v>Lt</v>
      </c>
      <c r="J204" s="14">
        <f>VLOOKUP(InputData[[#This Row],[PRODUCT ID]],MasterData[],5,0)</f>
        <v>55</v>
      </c>
      <c r="K204" s="14">
        <f>VLOOKUP(InputData[[#This Row],[PRODUCT ID]],MasterData[],5,0)</f>
        <v>55</v>
      </c>
      <c r="L204" s="14">
        <f>InputData[[#This Row],[BUYING PRIZE]]*InputData[[#This Row],[QUANTITY]]</f>
        <v>55</v>
      </c>
      <c r="M204" s="14">
        <f>InputData[[#This Row],[SELLING PRICE]]*InputData[[#This Row],[QUANTITY]]*(1-InputData[[#This Row],[DISCOUNT %]])</f>
        <v>55</v>
      </c>
      <c r="N204" s="12">
        <f>DAY(InputData[[#This Row],[DATE]])</f>
        <v>27</v>
      </c>
      <c r="O204" s="12" t="str">
        <f>TEXT(InputData[[#This Row],[DATE]],"mmm")</f>
        <v>Sep</v>
      </c>
      <c r="P204" s="12">
        <f>YEAR(InputData[[#This Row],[DATE]])</f>
        <v>2021</v>
      </c>
      <c r="Q204" s="12"/>
    </row>
    <row r="205" spans="1:17" x14ac:dyDescent="0.3">
      <c r="A205" s="10">
        <v>44469</v>
      </c>
      <c r="B205" s="11" t="s">
        <v>35</v>
      </c>
      <c r="C205" s="12">
        <v>9</v>
      </c>
      <c r="D205" s="12" t="s">
        <v>106</v>
      </c>
      <c r="E205" s="12" t="s">
        <v>106</v>
      </c>
      <c r="F205" s="13">
        <v>0</v>
      </c>
      <c r="G205" s="12" t="str">
        <f>VLOOKUP(InputData[[#This Row],[PRODUCT ID]],MasterData[],2,0)</f>
        <v>Product14</v>
      </c>
      <c r="H205" s="12" t="str">
        <f>VLOOKUP(InputData[[#This Row],[PRODUCT ID]],MasterData[],3,0)</f>
        <v>Category02</v>
      </c>
      <c r="I205" s="12" t="str">
        <f>VLOOKUP(InputData[[#This Row],[PRODUCT ID]],MasterData[],4,0)</f>
        <v>Kg</v>
      </c>
      <c r="J205" s="14">
        <f>VLOOKUP(InputData[[#This Row],[PRODUCT ID]],MasterData[],5,0)</f>
        <v>112</v>
      </c>
      <c r="K205" s="14">
        <f>VLOOKUP(InputData[[#This Row],[PRODUCT ID]],MasterData[],5,0)</f>
        <v>112</v>
      </c>
      <c r="L205" s="14">
        <f>InputData[[#This Row],[BUYING PRIZE]]*InputData[[#This Row],[QUANTITY]]</f>
        <v>1008</v>
      </c>
      <c r="M205" s="14">
        <f>InputData[[#This Row],[SELLING PRICE]]*InputData[[#This Row],[QUANTITY]]*(1-InputData[[#This Row],[DISCOUNT %]])</f>
        <v>1008</v>
      </c>
      <c r="N205" s="12">
        <f>DAY(InputData[[#This Row],[DATE]])</f>
        <v>30</v>
      </c>
      <c r="O205" s="12" t="str">
        <f>TEXT(InputData[[#This Row],[DATE]],"mmm")</f>
        <v>Sep</v>
      </c>
      <c r="P205" s="12">
        <f>YEAR(InputData[[#This Row],[DATE]])</f>
        <v>2021</v>
      </c>
      <c r="Q205" s="12"/>
    </row>
    <row r="206" spans="1:17" x14ac:dyDescent="0.3">
      <c r="A206" s="10">
        <v>44469</v>
      </c>
      <c r="B206" s="11" t="s">
        <v>18</v>
      </c>
      <c r="C206" s="12">
        <v>5</v>
      </c>
      <c r="D206" s="12" t="s">
        <v>106</v>
      </c>
      <c r="E206" s="12" t="s">
        <v>106</v>
      </c>
      <c r="F206" s="13">
        <v>0</v>
      </c>
      <c r="G206" s="12" t="str">
        <f>VLOOKUP(InputData[[#This Row],[PRODUCT ID]],MasterData[],2,0)</f>
        <v>Product06</v>
      </c>
      <c r="H206" s="12" t="str">
        <f>VLOOKUP(InputData[[#This Row],[PRODUCT ID]],MasterData[],3,0)</f>
        <v>Category01</v>
      </c>
      <c r="I206" s="12" t="str">
        <f>VLOOKUP(InputData[[#This Row],[PRODUCT ID]],MasterData[],4,0)</f>
        <v>Kg</v>
      </c>
      <c r="J206" s="14">
        <f>VLOOKUP(InputData[[#This Row],[PRODUCT ID]],MasterData[],5,0)</f>
        <v>75</v>
      </c>
      <c r="K206" s="14">
        <f>VLOOKUP(InputData[[#This Row],[PRODUCT ID]],MasterData[],5,0)</f>
        <v>75</v>
      </c>
      <c r="L206" s="14">
        <f>InputData[[#This Row],[BUYING PRIZE]]*InputData[[#This Row],[QUANTITY]]</f>
        <v>375</v>
      </c>
      <c r="M206" s="14">
        <f>InputData[[#This Row],[SELLING PRICE]]*InputData[[#This Row],[QUANTITY]]*(1-InputData[[#This Row],[DISCOUNT %]])</f>
        <v>375</v>
      </c>
      <c r="N206" s="12">
        <f>DAY(InputData[[#This Row],[DATE]])</f>
        <v>30</v>
      </c>
      <c r="O206" s="12" t="str">
        <f>TEXT(InputData[[#This Row],[DATE]],"mmm")</f>
        <v>Sep</v>
      </c>
      <c r="P206" s="12">
        <f>YEAR(InputData[[#This Row],[DATE]])</f>
        <v>2021</v>
      </c>
      <c r="Q206" s="12"/>
    </row>
    <row r="207" spans="1:17" x14ac:dyDescent="0.3">
      <c r="A207" s="10">
        <v>44470</v>
      </c>
      <c r="B207" s="11" t="s">
        <v>69</v>
      </c>
      <c r="C207" s="12">
        <v>14</v>
      </c>
      <c r="D207" s="12" t="s">
        <v>106</v>
      </c>
      <c r="E207" s="12" t="s">
        <v>107</v>
      </c>
      <c r="F207" s="13">
        <v>0</v>
      </c>
      <c r="G207" s="12" t="str">
        <f>VLOOKUP(InputData[[#This Row],[PRODUCT ID]],MasterData[],2,0)</f>
        <v>Product30</v>
      </c>
      <c r="H207" s="12" t="str">
        <f>VLOOKUP(InputData[[#This Row],[PRODUCT ID]],MasterData[],3,0)</f>
        <v>Category04</v>
      </c>
      <c r="I207" s="12" t="str">
        <f>VLOOKUP(InputData[[#This Row],[PRODUCT ID]],MasterData[],4,0)</f>
        <v>Ft</v>
      </c>
      <c r="J207" s="14">
        <f>VLOOKUP(InputData[[#This Row],[PRODUCT ID]],MasterData[],5,0)</f>
        <v>148</v>
      </c>
      <c r="K207" s="14">
        <f>VLOOKUP(InputData[[#This Row],[PRODUCT ID]],MasterData[],5,0)</f>
        <v>148</v>
      </c>
      <c r="L207" s="14">
        <f>InputData[[#This Row],[BUYING PRIZE]]*InputData[[#This Row],[QUANTITY]]</f>
        <v>2072</v>
      </c>
      <c r="M207" s="14">
        <f>InputData[[#This Row],[SELLING PRICE]]*InputData[[#This Row],[QUANTITY]]*(1-InputData[[#This Row],[DISCOUNT %]])</f>
        <v>2072</v>
      </c>
      <c r="N207" s="12">
        <f>DAY(InputData[[#This Row],[DATE]])</f>
        <v>1</v>
      </c>
      <c r="O207" s="12" t="str">
        <f>TEXT(InputData[[#This Row],[DATE]],"mmm")</f>
        <v>Oct</v>
      </c>
      <c r="P207" s="12">
        <f>YEAR(InputData[[#This Row],[DATE]])</f>
        <v>2021</v>
      </c>
      <c r="Q207" s="12"/>
    </row>
    <row r="208" spans="1:17" x14ac:dyDescent="0.3">
      <c r="A208" s="10">
        <v>44471</v>
      </c>
      <c r="B208" s="11" t="s">
        <v>35</v>
      </c>
      <c r="C208" s="12">
        <v>15</v>
      </c>
      <c r="D208" s="12" t="s">
        <v>108</v>
      </c>
      <c r="E208" s="12" t="s">
        <v>106</v>
      </c>
      <c r="F208" s="13">
        <v>0</v>
      </c>
      <c r="G208" s="12" t="str">
        <f>VLOOKUP(InputData[[#This Row],[PRODUCT ID]],MasterData[],2,0)</f>
        <v>Product14</v>
      </c>
      <c r="H208" s="12" t="str">
        <f>VLOOKUP(InputData[[#This Row],[PRODUCT ID]],MasterData[],3,0)</f>
        <v>Category02</v>
      </c>
      <c r="I208" s="12" t="str">
        <f>VLOOKUP(InputData[[#This Row],[PRODUCT ID]],MasterData[],4,0)</f>
        <v>Kg</v>
      </c>
      <c r="J208" s="14">
        <f>VLOOKUP(InputData[[#This Row],[PRODUCT ID]],MasterData[],5,0)</f>
        <v>112</v>
      </c>
      <c r="K208" s="14">
        <f>VLOOKUP(InputData[[#This Row],[PRODUCT ID]],MasterData[],5,0)</f>
        <v>112</v>
      </c>
      <c r="L208" s="14">
        <f>InputData[[#This Row],[BUYING PRIZE]]*InputData[[#This Row],[QUANTITY]]</f>
        <v>1680</v>
      </c>
      <c r="M208" s="14">
        <f>InputData[[#This Row],[SELLING PRICE]]*InputData[[#This Row],[QUANTITY]]*(1-InputData[[#This Row],[DISCOUNT %]])</f>
        <v>1680</v>
      </c>
      <c r="N208" s="12">
        <f>DAY(InputData[[#This Row],[DATE]])</f>
        <v>2</v>
      </c>
      <c r="O208" s="12" t="str">
        <f>TEXT(InputData[[#This Row],[DATE]],"mmm")</f>
        <v>Oct</v>
      </c>
      <c r="P208" s="12">
        <f>YEAR(InputData[[#This Row],[DATE]])</f>
        <v>2021</v>
      </c>
      <c r="Q208" s="12"/>
    </row>
    <row r="209" spans="1:17" x14ac:dyDescent="0.3">
      <c r="A209" s="10">
        <v>44472</v>
      </c>
      <c r="B209" s="11" t="s">
        <v>45</v>
      </c>
      <c r="C209" s="12">
        <v>9</v>
      </c>
      <c r="D209" s="12" t="s">
        <v>108</v>
      </c>
      <c r="E209" s="12" t="s">
        <v>106</v>
      </c>
      <c r="F209" s="13">
        <v>0</v>
      </c>
      <c r="G209" s="12" t="str">
        <f>VLOOKUP(InputData[[#This Row],[PRODUCT ID]],MasterData[],2,0)</f>
        <v>Product19</v>
      </c>
      <c r="H209" s="12" t="str">
        <f>VLOOKUP(InputData[[#This Row],[PRODUCT ID]],MasterData[],3,0)</f>
        <v>Category02</v>
      </c>
      <c r="I209" s="12" t="str">
        <f>VLOOKUP(InputData[[#This Row],[PRODUCT ID]],MasterData[],4,0)</f>
        <v>Ft</v>
      </c>
      <c r="J209" s="14">
        <f>VLOOKUP(InputData[[#This Row],[PRODUCT ID]],MasterData[],5,0)</f>
        <v>150</v>
      </c>
      <c r="K209" s="14">
        <f>VLOOKUP(InputData[[#This Row],[PRODUCT ID]],MasterData[],5,0)</f>
        <v>150</v>
      </c>
      <c r="L209" s="14">
        <f>InputData[[#This Row],[BUYING PRIZE]]*InputData[[#This Row],[QUANTITY]]</f>
        <v>1350</v>
      </c>
      <c r="M209" s="14">
        <f>InputData[[#This Row],[SELLING PRICE]]*InputData[[#This Row],[QUANTITY]]*(1-InputData[[#This Row],[DISCOUNT %]])</f>
        <v>1350</v>
      </c>
      <c r="N209" s="12">
        <f>DAY(InputData[[#This Row],[DATE]])</f>
        <v>3</v>
      </c>
      <c r="O209" s="12" t="str">
        <f>TEXT(InputData[[#This Row],[DATE]],"mmm")</f>
        <v>Oct</v>
      </c>
      <c r="P209" s="12">
        <f>YEAR(InputData[[#This Row],[DATE]])</f>
        <v>2021</v>
      </c>
      <c r="Q209" s="12"/>
    </row>
    <row r="210" spans="1:17" x14ac:dyDescent="0.3">
      <c r="A210" s="10">
        <v>44475</v>
      </c>
      <c r="B210" s="11" t="s">
        <v>79</v>
      </c>
      <c r="C210" s="12">
        <v>1</v>
      </c>
      <c r="D210" s="12" t="s">
        <v>108</v>
      </c>
      <c r="E210" s="12" t="s">
        <v>106</v>
      </c>
      <c r="F210" s="13">
        <v>0</v>
      </c>
      <c r="G210" s="12" t="str">
        <f>VLOOKUP(InputData[[#This Row],[PRODUCT ID]],MasterData[],2,0)</f>
        <v>Product35</v>
      </c>
      <c r="H210" s="12" t="str">
        <f>VLOOKUP(InputData[[#This Row],[PRODUCT ID]],MasterData[],3,0)</f>
        <v>Category04</v>
      </c>
      <c r="I210" s="12" t="str">
        <f>VLOOKUP(InputData[[#This Row],[PRODUCT ID]],MasterData[],4,0)</f>
        <v>No.</v>
      </c>
      <c r="J210" s="14">
        <f>VLOOKUP(InputData[[#This Row],[PRODUCT ID]],MasterData[],5,0)</f>
        <v>5</v>
      </c>
      <c r="K210" s="14">
        <f>VLOOKUP(InputData[[#This Row],[PRODUCT ID]],MasterData[],5,0)</f>
        <v>5</v>
      </c>
      <c r="L210" s="14">
        <f>InputData[[#This Row],[BUYING PRIZE]]*InputData[[#This Row],[QUANTITY]]</f>
        <v>5</v>
      </c>
      <c r="M210" s="14">
        <f>InputData[[#This Row],[SELLING PRICE]]*InputData[[#This Row],[QUANTITY]]*(1-InputData[[#This Row],[DISCOUNT %]])</f>
        <v>5</v>
      </c>
      <c r="N210" s="12">
        <f>DAY(InputData[[#This Row],[DATE]])</f>
        <v>6</v>
      </c>
      <c r="O210" s="12" t="str">
        <f>TEXT(InputData[[#This Row],[DATE]],"mmm")</f>
        <v>Oct</v>
      </c>
      <c r="P210" s="12">
        <f>YEAR(InputData[[#This Row],[DATE]])</f>
        <v>2021</v>
      </c>
      <c r="Q210" s="12"/>
    </row>
    <row r="211" spans="1:17" x14ac:dyDescent="0.3">
      <c r="A211" s="10">
        <v>44475</v>
      </c>
      <c r="B211" s="11" t="s">
        <v>81</v>
      </c>
      <c r="C211" s="12">
        <v>12</v>
      </c>
      <c r="D211" s="12" t="s">
        <v>106</v>
      </c>
      <c r="E211" s="12" t="s">
        <v>106</v>
      </c>
      <c r="F211" s="13">
        <v>0</v>
      </c>
      <c r="G211" s="12" t="str">
        <f>VLOOKUP(InputData[[#This Row],[PRODUCT ID]],MasterData[],2,0)</f>
        <v>Product36</v>
      </c>
      <c r="H211" s="12" t="str">
        <f>VLOOKUP(InputData[[#This Row],[PRODUCT ID]],MasterData[],3,0)</f>
        <v>Category04</v>
      </c>
      <c r="I211" s="12" t="str">
        <f>VLOOKUP(InputData[[#This Row],[PRODUCT ID]],MasterData[],4,0)</f>
        <v>Kg</v>
      </c>
      <c r="J211" s="14">
        <f>VLOOKUP(InputData[[#This Row],[PRODUCT ID]],MasterData[],5,0)</f>
        <v>90</v>
      </c>
      <c r="K211" s="14">
        <f>VLOOKUP(InputData[[#This Row],[PRODUCT ID]],MasterData[],5,0)</f>
        <v>90</v>
      </c>
      <c r="L211" s="14">
        <f>InputData[[#This Row],[BUYING PRIZE]]*InputData[[#This Row],[QUANTITY]]</f>
        <v>1080</v>
      </c>
      <c r="M211" s="14">
        <f>InputData[[#This Row],[SELLING PRICE]]*InputData[[#This Row],[QUANTITY]]*(1-InputData[[#This Row],[DISCOUNT %]])</f>
        <v>1080</v>
      </c>
      <c r="N211" s="12">
        <f>DAY(InputData[[#This Row],[DATE]])</f>
        <v>6</v>
      </c>
      <c r="O211" s="12" t="str">
        <f>TEXT(InputData[[#This Row],[DATE]],"mmm")</f>
        <v>Oct</v>
      </c>
      <c r="P211" s="12">
        <f>YEAR(InputData[[#This Row],[DATE]])</f>
        <v>2021</v>
      </c>
      <c r="Q211" s="12"/>
    </row>
    <row r="212" spans="1:17" x14ac:dyDescent="0.3">
      <c r="A212" s="10">
        <v>44476</v>
      </c>
      <c r="B212" s="11" t="s">
        <v>60</v>
      </c>
      <c r="C212" s="12">
        <v>6</v>
      </c>
      <c r="D212" s="12" t="s">
        <v>108</v>
      </c>
      <c r="E212" s="12" t="s">
        <v>107</v>
      </c>
      <c r="F212" s="13">
        <v>0</v>
      </c>
      <c r="G212" s="12" t="str">
        <f>VLOOKUP(InputData[[#This Row],[PRODUCT ID]],MasterData[],2,0)</f>
        <v>Product26</v>
      </c>
      <c r="H212" s="12" t="str">
        <f>VLOOKUP(InputData[[#This Row],[PRODUCT ID]],MasterData[],3,0)</f>
        <v>Category04</v>
      </c>
      <c r="I212" s="12" t="str">
        <f>VLOOKUP(InputData[[#This Row],[PRODUCT ID]],MasterData[],4,0)</f>
        <v>No.</v>
      </c>
      <c r="J212" s="14">
        <f>VLOOKUP(InputData[[#This Row],[PRODUCT ID]],MasterData[],5,0)</f>
        <v>18</v>
      </c>
      <c r="K212" s="14">
        <f>VLOOKUP(InputData[[#This Row],[PRODUCT ID]],MasterData[],5,0)</f>
        <v>18</v>
      </c>
      <c r="L212" s="14">
        <f>InputData[[#This Row],[BUYING PRIZE]]*InputData[[#This Row],[QUANTITY]]</f>
        <v>108</v>
      </c>
      <c r="M212" s="14">
        <f>InputData[[#This Row],[SELLING PRICE]]*InputData[[#This Row],[QUANTITY]]*(1-InputData[[#This Row],[DISCOUNT %]])</f>
        <v>108</v>
      </c>
      <c r="N212" s="12">
        <f>DAY(InputData[[#This Row],[DATE]])</f>
        <v>7</v>
      </c>
      <c r="O212" s="12" t="str">
        <f>TEXT(InputData[[#This Row],[DATE]],"mmm")</f>
        <v>Oct</v>
      </c>
      <c r="P212" s="12">
        <f>YEAR(InputData[[#This Row],[DATE]])</f>
        <v>2021</v>
      </c>
      <c r="Q212" s="12"/>
    </row>
    <row r="213" spans="1:17" x14ac:dyDescent="0.3">
      <c r="A213" s="10">
        <v>44478</v>
      </c>
      <c r="B213" s="11" t="s">
        <v>86</v>
      </c>
      <c r="C213" s="12">
        <v>5</v>
      </c>
      <c r="D213" s="12" t="s">
        <v>108</v>
      </c>
      <c r="E213" s="12" t="s">
        <v>107</v>
      </c>
      <c r="F213" s="13">
        <v>0</v>
      </c>
      <c r="G213" s="12" t="str">
        <f>VLOOKUP(InputData[[#This Row],[PRODUCT ID]],MasterData[],2,0)</f>
        <v>Product38</v>
      </c>
      <c r="H213" s="12" t="str">
        <f>VLOOKUP(InputData[[#This Row],[PRODUCT ID]],MasterData[],3,0)</f>
        <v>Category05</v>
      </c>
      <c r="I213" s="12" t="str">
        <f>VLOOKUP(InputData[[#This Row],[PRODUCT ID]],MasterData[],4,0)</f>
        <v>Kg</v>
      </c>
      <c r="J213" s="14">
        <f>VLOOKUP(InputData[[#This Row],[PRODUCT ID]],MasterData[],5,0)</f>
        <v>72</v>
      </c>
      <c r="K213" s="14">
        <f>VLOOKUP(InputData[[#This Row],[PRODUCT ID]],MasterData[],5,0)</f>
        <v>72</v>
      </c>
      <c r="L213" s="14">
        <f>InputData[[#This Row],[BUYING PRIZE]]*InputData[[#This Row],[QUANTITY]]</f>
        <v>360</v>
      </c>
      <c r="M213" s="14">
        <f>InputData[[#This Row],[SELLING PRICE]]*InputData[[#This Row],[QUANTITY]]*(1-InputData[[#This Row],[DISCOUNT %]])</f>
        <v>360</v>
      </c>
      <c r="N213" s="12">
        <f>DAY(InputData[[#This Row],[DATE]])</f>
        <v>9</v>
      </c>
      <c r="O213" s="12" t="str">
        <f>TEXT(InputData[[#This Row],[DATE]],"mmm")</f>
        <v>Oct</v>
      </c>
      <c r="P213" s="12">
        <f>YEAR(InputData[[#This Row],[DATE]])</f>
        <v>2021</v>
      </c>
      <c r="Q213" s="12"/>
    </row>
    <row r="214" spans="1:17" x14ac:dyDescent="0.3">
      <c r="A214" s="10">
        <v>44478</v>
      </c>
      <c r="B214" s="11" t="s">
        <v>73</v>
      </c>
      <c r="C214" s="12">
        <v>11</v>
      </c>
      <c r="D214" s="12" t="s">
        <v>106</v>
      </c>
      <c r="E214" s="12" t="s">
        <v>107</v>
      </c>
      <c r="F214" s="13">
        <v>0</v>
      </c>
      <c r="G214" s="12" t="str">
        <f>VLOOKUP(InputData[[#This Row],[PRODUCT ID]],MasterData[],2,0)</f>
        <v>Product32</v>
      </c>
      <c r="H214" s="12" t="str">
        <f>VLOOKUP(InputData[[#This Row],[PRODUCT ID]],MasterData[],3,0)</f>
        <v>Category04</v>
      </c>
      <c r="I214" s="12" t="str">
        <f>VLOOKUP(InputData[[#This Row],[PRODUCT ID]],MasterData[],4,0)</f>
        <v>Kg</v>
      </c>
      <c r="J214" s="14">
        <f>VLOOKUP(InputData[[#This Row],[PRODUCT ID]],MasterData[],5,0)</f>
        <v>89</v>
      </c>
      <c r="K214" s="14">
        <f>VLOOKUP(InputData[[#This Row],[PRODUCT ID]],MasterData[],5,0)</f>
        <v>89</v>
      </c>
      <c r="L214" s="14">
        <f>InputData[[#This Row],[BUYING PRIZE]]*InputData[[#This Row],[QUANTITY]]</f>
        <v>979</v>
      </c>
      <c r="M214" s="14">
        <f>InputData[[#This Row],[SELLING PRICE]]*InputData[[#This Row],[QUANTITY]]*(1-InputData[[#This Row],[DISCOUNT %]])</f>
        <v>979</v>
      </c>
      <c r="N214" s="12">
        <f>DAY(InputData[[#This Row],[DATE]])</f>
        <v>9</v>
      </c>
      <c r="O214" s="12" t="str">
        <f>TEXT(InputData[[#This Row],[DATE]],"mmm")</f>
        <v>Oct</v>
      </c>
      <c r="P214" s="12">
        <f>YEAR(InputData[[#This Row],[DATE]])</f>
        <v>2021</v>
      </c>
      <c r="Q214" s="12"/>
    </row>
    <row r="215" spans="1:17" x14ac:dyDescent="0.3">
      <c r="A215" s="10">
        <v>44479</v>
      </c>
      <c r="B215" s="11" t="s">
        <v>79</v>
      </c>
      <c r="C215" s="12">
        <v>14</v>
      </c>
      <c r="D215" s="12" t="s">
        <v>108</v>
      </c>
      <c r="E215" s="12" t="s">
        <v>107</v>
      </c>
      <c r="F215" s="13">
        <v>0</v>
      </c>
      <c r="G215" s="12" t="str">
        <f>VLOOKUP(InputData[[#This Row],[PRODUCT ID]],MasterData[],2,0)</f>
        <v>Product35</v>
      </c>
      <c r="H215" s="12" t="str">
        <f>VLOOKUP(InputData[[#This Row],[PRODUCT ID]],MasterData[],3,0)</f>
        <v>Category04</v>
      </c>
      <c r="I215" s="12" t="str">
        <f>VLOOKUP(InputData[[#This Row],[PRODUCT ID]],MasterData[],4,0)</f>
        <v>No.</v>
      </c>
      <c r="J215" s="14">
        <f>VLOOKUP(InputData[[#This Row],[PRODUCT ID]],MasterData[],5,0)</f>
        <v>5</v>
      </c>
      <c r="K215" s="14">
        <f>VLOOKUP(InputData[[#This Row],[PRODUCT ID]],MasterData[],5,0)</f>
        <v>5</v>
      </c>
      <c r="L215" s="14">
        <f>InputData[[#This Row],[BUYING PRIZE]]*InputData[[#This Row],[QUANTITY]]</f>
        <v>70</v>
      </c>
      <c r="M215" s="14">
        <f>InputData[[#This Row],[SELLING PRICE]]*InputData[[#This Row],[QUANTITY]]*(1-InputData[[#This Row],[DISCOUNT %]])</f>
        <v>70</v>
      </c>
      <c r="N215" s="12">
        <f>DAY(InputData[[#This Row],[DATE]])</f>
        <v>10</v>
      </c>
      <c r="O215" s="12" t="str">
        <f>TEXT(InputData[[#This Row],[DATE]],"mmm")</f>
        <v>Oct</v>
      </c>
      <c r="P215" s="12">
        <f>YEAR(InputData[[#This Row],[DATE]])</f>
        <v>2021</v>
      </c>
      <c r="Q215" s="12"/>
    </row>
    <row r="216" spans="1:17" x14ac:dyDescent="0.3">
      <c r="A216" s="10">
        <v>44480</v>
      </c>
      <c r="B216" s="11" t="s">
        <v>29</v>
      </c>
      <c r="C216" s="12">
        <v>15</v>
      </c>
      <c r="D216" s="12" t="s">
        <v>108</v>
      </c>
      <c r="E216" s="12" t="s">
        <v>107</v>
      </c>
      <c r="F216" s="13">
        <v>0</v>
      </c>
      <c r="G216" s="12" t="str">
        <f>VLOOKUP(InputData[[#This Row],[PRODUCT ID]],MasterData[],2,0)</f>
        <v>Product11</v>
      </c>
      <c r="H216" s="12" t="str">
        <f>VLOOKUP(InputData[[#This Row],[PRODUCT ID]],MasterData[],3,0)</f>
        <v>Category02</v>
      </c>
      <c r="I216" s="12" t="str">
        <f>VLOOKUP(InputData[[#This Row],[PRODUCT ID]],MasterData[],4,0)</f>
        <v>Lt</v>
      </c>
      <c r="J216" s="14">
        <f>VLOOKUP(InputData[[#This Row],[PRODUCT ID]],MasterData[],5,0)</f>
        <v>44</v>
      </c>
      <c r="K216" s="14">
        <f>VLOOKUP(InputData[[#This Row],[PRODUCT ID]],MasterData[],5,0)</f>
        <v>44</v>
      </c>
      <c r="L216" s="14">
        <f>InputData[[#This Row],[BUYING PRIZE]]*InputData[[#This Row],[QUANTITY]]</f>
        <v>660</v>
      </c>
      <c r="M216" s="14">
        <f>InputData[[#This Row],[SELLING PRICE]]*InputData[[#This Row],[QUANTITY]]*(1-InputData[[#This Row],[DISCOUNT %]])</f>
        <v>660</v>
      </c>
      <c r="N216" s="12">
        <f>DAY(InputData[[#This Row],[DATE]])</f>
        <v>11</v>
      </c>
      <c r="O216" s="12" t="str">
        <f>TEXT(InputData[[#This Row],[DATE]],"mmm")</f>
        <v>Oct</v>
      </c>
      <c r="P216" s="12">
        <f>YEAR(InputData[[#This Row],[DATE]])</f>
        <v>2021</v>
      </c>
      <c r="Q216" s="12"/>
    </row>
    <row r="217" spans="1:17" x14ac:dyDescent="0.3">
      <c r="A217" s="10">
        <v>44481</v>
      </c>
      <c r="B217" s="11" t="s">
        <v>63</v>
      </c>
      <c r="C217" s="12">
        <v>8</v>
      </c>
      <c r="D217" s="12" t="s">
        <v>106</v>
      </c>
      <c r="E217" s="12" t="s">
        <v>106</v>
      </c>
      <c r="F217" s="13">
        <v>0</v>
      </c>
      <c r="G217" s="12" t="str">
        <f>VLOOKUP(InputData[[#This Row],[PRODUCT ID]],MasterData[],2,0)</f>
        <v>Product27</v>
      </c>
      <c r="H217" s="12" t="str">
        <f>VLOOKUP(InputData[[#This Row],[PRODUCT ID]],MasterData[],3,0)</f>
        <v>Category04</v>
      </c>
      <c r="I217" s="12" t="str">
        <f>VLOOKUP(InputData[[#This Row],[PRODUCT ID]],MasterData[],4,0)</f>
        <v>Lt</v>
      </c>
      <c r="J217" s="14">
        <f>VLOOKUP(InputData[[#This Row],[PRODUCT ID]],MasterData[],5,0)</f>
        <v>48</v>
      </c>
      <c r="K217" s="14">
        <f>VLOOKUP(InputData[[#This Row],[PRODUCT ID]],MasterData[],5,0)</f>
        <v>48</v>
      </c>
      <c r="L217" s="14">
        <f>InputData[[#This Row],[BUYING PRIZE]]*InputData[[#This Row],[QUANTITY]]</f>
        <v>384</v>
      </c>
      <c r="M217" s="14">
        <f>InputData[[#This Row],[SELLING PRICE]]*InputData[[#This Row],[QUANTITY]]*(1-InputData[[#This Row],[DISCOUNT %]])</f>
        <v>384</v>
      </c>
      <c r="N217" s="12">
        <f>DAY(InputData[[#This Row],[DATE]])</f>
        <v>12</v>
      </c>
      <c r="O217" s="12" t="str">
        <f>TEXT(InputData[[#This Row],[DATE]],"mmm")</f>
        <v>Oct</v>
      </c>
      <c r="P217" s="12">
        <f>YEAR(InputData[[#This Row],[DATE]])</f>
        <v>2021</v>
      </c>
      <c r="Q217" s="12"/>
    </row>
    <row r="218" spans="1:17" x14ac:dyDescent="0.3">
      <c r="A218" s="10">
        <v>44486</v>
      </c>
      <c r="B218" s="11" t="s">
        <v>6</v>
      </c>
      <c r="C218" s="12">
        <v>13</v>
      </c>
      <c r="D218" s="12" t="s">
        <v>108</v>
      </c>
      <c r="E218" s="12" t="s">
        <v>106</v>
      </c>
      <c r="F218" s="13">
        <v>0</v>
      </c>
      <c r="G218" s="12" t="str">
        <f>VLOOKUP(InputData[[#This Row],[PRODUCT ID]],MasterData[],2,0)</f>
        <v>Product01</v>
      </c>
      <c r="H218" s="12" t="str">
        <f>VLOOKUP(InputData[[#This Row],[PRODUCT ID]],MasterData[],3,0)</f>
        <v>Category01</v>
      </c>
      <c r="I218" s="12" t="str">
        <f>VLOOKUP(InputData[[#This Row],[PRODUCT ID]],MasterData[],4,0)</f>
        <v>Kg</v>
      </c>
      <c r="J218" s="14">
        <f>VLOOKUP(InputData[[#This Row],[PRODUCT ID]],MasterData[],5,0)</f>
        <v>98</v>
      </c>
      <c r="K218" s="14">
        <f>VLOOKUP(InputData[[#This Row],[PRODUCT ID]],MasterData[],5,0)</f>
        <v>98</v>
      </c>
      <c r="L218" s="14">
        <f>InputData[[#This Row],[BUYING PRIZE]]*InputData[[#This Row],[QUANTITY]]</f>
        <v>1274</v>
      </c>
      <c r="M218" s="14">
        <f>InputData[[#This Row],[SELLING PRICE]]*InputData[[#This Row],[QUANTITY]]*(1-InputData[[#This Row],[DISCOUNT %]])</f>
        <v>1274</v>
      </c>
      <c r="N218" s="12">
        <f>DAY(InputData[[#This Row],[DATE]])</f>
        <v>17</v>
      </c>
      <c r="O218" s="12" t="str">
        <f>TEXT(InputData[[#This Row],[DATE]],"mmm")</f>
        <v>Oct</v>
      </c>
      <c r="P218" s="12">
        <f>YEAR(InputData[[#This Row],[DATE]])</f>
        <v>2021</v>
      </c>
      <c r="Q218" s="12"/>
    </row>
    <row r="219" spans="1:17" x14ac:dyDescent="0.3">
      <c r="A219" s="10">
        <v>44487</v>
      </c>
      <c r="B219" s="11" t="s">
        <v>58</v>
      </c>
      <c r="C219" s="12">
        <v>6</v>
      </c>
      <c r="D219" s="12" t="s">
        <v>106</v>
      </c>
      <c r="E219" s="12" t="s">
        <v>107</v>
      </c>
      <c r="F219" s="13">
        <v>0</v>
      </c>
      <c r="G219" s="12" t="str">
        <f>VLOOKUP(InputData[[#This Row],[PRODUCT ID]],MasterData[],2,0)</f>
        <v>Product25</v>
      </c>
      <c r="H219" s="12" t="str">
        <f>VLOOKUP(InputData[[#This Row],[PRODUCT ID]],MasterData[],3,0)</f>
        <v>Category03</v>
      </c>
      <c r="I219" s="12" t="str">
        <f>VLOOKUP(InputData[[#This Row],[PRODUCT ID]],MasterData[],4,0)</f>
        <v>No.</v>
      </c>
      <c r="J219" s="14">
        <f>VLOOKUP(InputData[[#This Row],[PRODUCT ID]],MasterData[],5,0)</f>
        <v>7</v>
      </c>
      <c r="K219" s="14">
        <f>VLOOKUP(InputData[[#This Row],[PRODUCT ID]],MasterData[],5,0)</f>
        <v>7</v>
      </c>
      <c r="L219" s="14">
        <f>InputData[[#This Row],[BUYING PRIZE]]*InputData[[#This Row],[QUANTITY]]</f>
        <v>42</v>
      </c>
      <c r="M219" s="14">
        <f>InputData[[#This Row],[SELLING PRICE]]*InputData[[#This Row],[QUANTITY]]*(1-InputData[[#This Row],[DISCOUNT %]])</f>
        <v>42</v>
      </c>
      <c r="N219" s="12">
        <f>DAY(InputData[[#This Row],[DATE]])</f>
        <v>18</v>
      </c>
      <c r="O219" s="12" t="str">
        <f>TEXT(InputData[[#This Row],[DATE]],"mmm")</f>
        <v>Oct</v>
      </c>
      <c r="P219" s="12">
        <f>YEAR(InputData[[#This Row],[DATE]])</f>
        <v>2021</v>
      </c>
      <c r="Q219" s="12"/>
    </row>
    <row r="220" spans="1:17" x14ac:dyDescent="0.3">
      <c r="A220" s="10">
        <v>44487</v>
      </c>
      <c r="B220" s="11" t="s">
        <v>50</v>
      </c>
      <c r="C220" s="12">
        <v>13</v>
      </c>
      <c r="D220" s="12" t="s">
        <v>106</v>
      </c>
      <c r="E220" s="12" t="s">
        <v>107</v>
      </c>
      <c r="F220" s="13">
        <v>0</v>
      </c>
      <c r="G220" s="12" t="str">
        <f>VLOOKUP(InputData[[#This Row],[PRODUCT ID]],MasterData[],2,0)</f>
        <v>Product21</v>
      </c>
      <c r="H220" s="12" t="str">
        <f>VLOOKUP(InputData[[#This Row],[PRODUCT ID]],MasterData[],3,0)</f>
        <v>Category03</v>
      </c>
      <c r="I220" s="12" t="str">
        <f>VLOOKUP(InputData[[#This Row],[PRODUCT ID]],MasterData[],4,0)</f>
        <v>Ft</v>
      </c>
      <c r="J220" s="14">
        <f>VLOOKUP(InputData[[#This Row],[PRODUCT ID]],MasterData[],5,0)</f>
        <v>126</v>
      </c>
      <c r="K220" s="14">
        <f>VLOOKUP(InputData[[#This Row],[PRODUCT ID]],MasterData[],5,0)</f>
        <v>126</v>
      </c>
      <c r="L220" s="14">
        <f>InputData[[#This Row],[BUYING PRIZE]]*InputData[[#This Row],[QUANTITY]]</f>
        <v>1638</v>
      </c>
      <c r="M220" s="14">
        <f>InputData[[#This Row],[SELLING PRICE]]*InputData[[#This Row],[QUANTITY]]*(1-InputData[[#This Row],[DISCOUNT %]])</f>
        <v>1638</v>
      </c>
      <c r="N220" s="12">
        <f>DAY(InputData[[#This Row],[DATE]])</f>
        <v>18</v>
      </c>
      <c r="O220" s="12" t="str">
        <f>TEXT(InputData[[#This Row],[DATE]],"mmm")</f>
        <v>Oct</v>
      </c>
      <c r="P220" s="12">
        <f>YEAR(InputData[[#This Row],[DATE]])</f>
        <v>2021</v>
      </c>
      <c r="Q220" s="12"/>
    </row>
    <row r="221" spans="1:17" x14ac:dyDescent="0.3">
      <c r="A221" s="10">
        <v>44491</v>
      </c>
      <c r="B221" s="11" t="s">
        <v>29</v>
      </c>
      <c r="C221" s="12">
        <v>7</v>
      </c>
      <c r="D221" s="12" t="s">
        <v>108</v>
      </c>
      <c r="E221" s="12" t="s">
        <v>107</v>
      </c>
      <c r="F221" s="13">
        <v>0</v>
      </c>
      <c r="G221" s="12" t="str">
        <f>VLOOKUP(InputData[[#This Row],[PRODUCT ID]],MasterData[],2,0)</f>
        <v>Product11</v>
      </c>
      <c r="H221" s="12" t="str">
        <f>VLOOKUP(InputData[[#This Row],[PRODUCT ID]],MasterData[],3,0)</f>
        <v>Category02</v>
      </c>
      <c r="I221" s="12" t="str">
        <f>VLOOKUP(InputData[[#This Row],[PRODUCT ID]],MasterData[],4,0)</f>
        <v>Lt</v>
      </c>
      <c r="J221" s="14">
        <f>VLOOKUP(InputData[[#This Row],[PRODUCT ID]],MasterData[],5,0)</f>
        <v>44</v>
      </c>
      <c r="K221" s="14">
        <f>VLOOKUP(InputData[[#This Row],[PRODUCT ID]],MasterData[],5,0)</f>
        <v>44</v>
      </c>
      <c r="L221" s="14">
        <f>InputData[[#This Row],[BUYING PRIZE]]*InputData[[#This Row],[QUANTITY]]</f>
        <v>308</v>
      </c>
      <c r="M221" s="14">
        <f>InputData[[#This Row],[SELLING PRICE]]*InputData[[#This Row],[QUANTITY]]*(1-InputData[[#This Row],[DISCOUNT %]])</f>
        <v>308</v>
      </c>
      <c r="N221" s="12">
        <f>DAY(InputData[[#This Row],[DATE]])</f>
        <v>22</v>
      </c>
      <c r="O221" s="12" t="str">
        <f>TEXT(InputData[[#This Row],[DATE]],"mmm")</f>
        <v>Oct</v>
      </c>
      <c r="P221" s="12">
        <f>YEAR(InputData[[#This Row],[DATE]])</f>
        <v>2021</v>
      </c>
      <c r="Q221" s="12"/>
    </row>
    <row r="222" spans="1:17" x14ac:dyDescent="0.3">
      <c r="A222" s="10">
        <v>44491</v>
      </c>
      <c r="B222" s="11" t="s">
        <v>56</v>
      </c>
      <c r="C222" s="12">
        <v>13</v>
      </c>
      <c r="D222" s="12" t="s">
        <v>106</v>
      </c>
      <c r="E222" s="12" t="s">
        <v>107</v>
      </c>
      <c r="F222" s="13">
        <v>0</v>
      </c>
      <c r="G222" s="12" t="str">
        <f>VLOOKUP(InputData[[#This Row],[PRODUCT ID]],MasterData[],2,0)</f>
        <v>Product24</v>
      </c>
      <c r="H222" s="12" t="str">
        <f>VLOOKUP(InputData[[#This Row],[PRODUCT ID]],MasterData[],3,0)</f>
        <v>Category03</v>
      </c>
      <c r="I222" s="12" t="str">
        <f>VLOOKUP(InputData[[#This Row],[PRODUCT ID]],MasterData[],4,0)</f>
        <v>Ft</v>
      </c>
      <c r="J222" s="14">
        <f>VLOOKUP(InputData[[#This Row],[PRODUCT ID]],MasterData[],5,0)</f>
        <v>144</v>
      </c>
      <c r="K222" s="14">
        <f>VLOOKUP(InputData[[#This Row],[PRODUCT ID]],MasterData[],5,0)</f>
        <v>144</v>
      </c>
      <c r="L222" s="14">
        <f>InputData[[#This Row],[BUYING PRIZE]]*InputData[[#This Row],[QUANTITY]]</f>
        <v>1872</v>
      </c>
      <c r="M222" s="14">
        <f>InputData[[#This Row],[SELLING PRICE]]*InputData[[#This Row],[QUANTITY]]*(1-InputData[[#This Row],[DISCOUNT %]])</f>
        <v>1872</v>
      </c>
      <c r="N222" s="12">
        <f>DAY(InputData[[#This Row],[DATE]])</f>
        <v>22</v>
      </c>
      <c r="O222" s="12" t="str">
        <f>TEXT(InputData[[#This Row],[DATE]],"mmm")</f>
        <v>Oct</v>
      </c>
      <c r="P222" s="12">
        <f>YEAR(InputData[[#This Row],[DATE]])</f>
        <v>2021</v>
      </c>
      <c r="Q222" s="12"/>
    </row>
    <row r="223" spans="1:17" x14ac:dyDescent="0.3">
      <c r="A223" s="10">
        <v>44491</v>
      </c>
      <c r="B223" s="11" t="s">
        <v>24</v>
      </c>
      <c r="C223" s="12">
        <v>1</v>
      </c>
      <c r="D223" s="12" t="s">
        <v>108</v>
      </c>
      <c r="E223" s="12" t="s">
        <v>107</v>
      </c>
      <c r="F223" s="13">
        <v>0</v>
      </c>
      <c r="G223" s="12" t="str">
        <f>VLOOKUP(InputData[[#This Row],[PRODUCT ID]],MasterData[],2,0)</f>
        <v>Product09</v>
      </c>
      <c r="H223" s="12" t="str">
        <f>VLOOKUP(InputData[[#This Row],[PRODUCT ID]],MasterData[],3,0)</f>
        <v>Category01</v>
      </c>
      <c r="I223" s="12" t="str">
        <f>VLOOKUP(InputData[[#This Row],[PRODUCT ID]],MasterData[],4,0)</f>
        <v>No.</v>
      </c>
      <c r="J223" s="14">
        <f>VLOOKUP(InputData[[#This Row],[PRODUCT ID]],MasterData[],5,0)</f>
        <v>6</v>
      </c>
      <c r="K223" s="14">
        <f>VLOOKUP(InputData[[#This Row],[PRODUCT ID]],MasterData[],5,0)</f>
        <v>6</v>
      </c>
      <c r="L223" s="14">
        <f>InputData[[#This Row],[BUYING PRIZE]]*InputData[[#This Row],[QUANTITY]]</f>
        <v>6</v>
      </c>
      <c r="M223" s="14">
        <f>InputData[[#This Row],[SELLING PRICE]]*InputData[[#This Row],[QUANTITY]]*(1-InputData[[#This Row],[DISCOUNT %]])</f>
        <v>6</v>
      </c>
      <c r="N223" s="12">
        <f>DAY(InputData[[#This Row],[DATE]])</f>
        <v>22</v>
      </c>
      <c r="O223" s="12" t="str">
        <f>TEXT(InputData[[#This Row],[DATE]],"mmm")</f>
        <v>Oct</v>
      </c>
      <c r="P223" s="12">
        <f>YEAR(InputData[[#This Row],[DATE]])</f>
        <v>2021</v>
      </c>
      <c r="Q223" s="12"/>
    </row>
    <row r="224" spans="1:17" x14ac:dyDescent="0.3">
      <c r="A224" s="10">
        <v>44493</v>
      </c>
      <c r="B224" s="11" t="s">
        <v>29</v>
      </c>
      <c r="C224" s="12">
        <v>3</v>
      </c>
      <c r="D224" s="12" t="s">
        <v>105</v>
      </c>
      <c r="E224" s="12" t="s">
        <v>107</v>
      </c>
      <c r="F224" s="13">
        <v>0</v>
      </c>
      <c r="G224" s="12" t="str">
        <f>VLOOKUP(InputData[[#This Row],[PRODUCT ID]],MasterData[],2,0)</f>
        <v>Product11</v>
      </c>
      <c r="H224" s="12" t="str">
        <f>VLOOKUP(InputData[[#This Row],[PRODUCT ID]],MasterData[],3,0)</f>
        <v>Category02</v>
      </c>
      <c r="I224" s="12" t="str">
        <f>VLOOKUP(InputData[[#This Row],[PRODUCT ID]],MasterData[],4,0)</f>
        <v>Lt</v>
      </c>
      <c r="J224" s="14">
        <f>VLOOKUP(InputData[[#This Row],[PRODUCT ID]],MasterData[],5,0)</f>
        <v>44</v>
      </c>
      <c r="K224" s="14">
        <f>VLOOKUP(InputData[[#This Row],[PRODUCT ID]],MasterData[],5,0)</f>
        <v>44</v>
      </c>
      <c r="L224" s="14">
        <f>InputData[[#This Row],[BUYING PRIZE]]*InputData[[#This Row],[QUANTITY]]</f>
        <v>132</v>
      </c>
      <c r="M224" s="14">
        <f>InputData[[#This Row],[SELLING PRICE]]*InputData[[#This Row],[QUANTITY]]*(1-InputData[[#This Row],[DISCOUNT %]])</f>
        <v>132</v>
      </c>
      <c r="N224" s="12">
        <f>DAY(InputData[[#This Row],[DATE]])</f>
        <v>24</v>
      </c>
      <c r="O224" s="12" t="str">
        <f>TEXT(InputData[[#This Row],[DATE]],"mmm")</f>
        <v>Oct</v>
      </c>
      <c r="P224" s="12">
        <f>YEAR(InputData[[#This Row],[DATE]])</f>
        <v>2021</v>
      </c>
      <c r="Q224" s="12"/>
    </row>
    <row r="225" spans="1:17" x14ac:dyDescent="0.3">
      <c r="A225" s="10">
        <v>44494</v>
      </c>
      <c r="B225" s="11" t="s">
        <v>98</v>
      </c>
      <c r="C225" s="12">
        <v>9</v>
      </c>
      <c r="D225" s="12" t="s">
        <v>106</v>
      </c>
      <c r="E225" s="12" t="s">
        <v>107</v>
      </c>
      <c r="F225" s="13">
        <v>0</v>
      </c>
      <c r="G225" s="12" t="str">
        <f>VLOOKUP(InputData[[#This Row],[PRODUCT ID]],MasterData[],2,0)</f>
        <v>Product44</v>
      </c>
      <c r="H225" s="12" t="str">
        <f>VLOOKUP(InputData[[#This Row],[PRODUCT ID]],MasterData[],3,0)</f>
        <v>Category05</v>
      </c>
      <c r="I225" s="12" t="str">
        <f>VLOOKUP(InputData[[#This Row],[PRODUCT ID]],MasterData[],4,0)</f>
        <v>Kg</v>
      </c>
      <c r="J225" s="14">
        <f>VLOOKUP(InputData[[#This Row],[PRODUCT ID]],MasterData[],5,0)</f>
        <v>76</v>
      </c>
      <c r="K225" s="14">
        <f>VLOOKUP(InputData[[#This Row],[PRODUCT ID]],MasterData[],5,0)</f>
        <v>76</v>
      </c>
      <c r="L225" s="14">
        <f>InputData[[#This Row],[BUYING PRIZE]]*InputData[[#This Row],[QUANTITY]]</f>
        <v>684</v>
      </c>
      <c r="M225" s="14">
        <f>InputData[[#This Row],[SELLING PRICE]]*InputData[[#This Row],[QUANTITY]]*(1-InputData[[#This Row],[DISCOUNT %]])</f>
        <v>684</v>
      </c>
      <c r="N225" s="12">
        <f>DAY(InputData[[#This Row],[DATE]])</f>
        <v>25</v>
      </c>
      <c r="O225" s="12" t="str">
        <f>TEXT(InputData[[#This Row],[DATE]],"mmm")</f>
        <v>Oct</v>
      </c>
      <c r="P225" s="12">
        <f>YEAR(InputData[[#This Row],[DATE]])</f>
        <v>2021</v>
      </c>
      <c r="Q225" s="12"/>
    </row>
    <row r="226" spans="1:17" x14ac:dyDescent="0.3">
      <c r="A226" s="10">
        <v>44495</v>
      </c>
      <c r="B226" s="11" t="s">
        <v>14</v>
      </c>
      <c r="C226" s="12">
        <v>6</v>
      </c>
      <c r="D226" s="12" t="s">
        <v>105</v>
      </c>
      <c r="E226" s="12" t="s">
        <v>107</v>
      </c>
      <c r="F226" s="13">
        <v>0</v>
      </c>
      <c r="G226" s="12" t="str">
        <f>VLOOKUP(InputData[[#This Row],[PRODUCT ID]],MasterData[],2,0)</f>
        <v>Product04</v>
      </c>
      <c r="H226" s="12" t="str">
        <f>VLOOKUP(InputData[[#This Row],[PRODUCT ID]],MasterData[],3,0)</f>
        <v>Category01</v>
      </c>
      <c r="I226" s="12" t="str">
        <f>VLOOKUP(InputData[[#This Row],[PRODUCT ID]],MasterData[],4,0)</f>
        <v>Lt</v>
      </c>
      <c r="J226" s="14">
        <f>VLOOKUP(InputData[[#This Row],[PRODUCT ID]],MasterData[],5,0)</f>
        <v>44</v>
      </c>
      <c r="K226" s="14">
        <f>VLOOKUP(InputData[[#This Row],[PRODUCT ID]],MasterData[],5,0)</f>
        <v>44</v>
      </c>
      <c r="L226" s="14">
        <f>InputData[[#This Row],[BUYING PRIZE]]*InputData[[#This Row],[QUANTITY]]</f>
        <v>264</v>
      </c>
      <c r="M226" s="14">
        <f>InputData[[#This Row],[SELLING PRICE]]*InputData[[#This Row],[QUANTITY]]*(1-InputData[[#This Row],[DISCOUNT %]])</f>
        <v>264</v>
      </c>
      <c r="N226" s="12">
        <f>DAY(InputData[[#This Row],[DATE]])</f>
        <v>26</v>
      </c>
      <c r="O226" s="12" t="str">
        <f>TEXT(InputData[[#This Row],[DATE]],"mmm")</f>
        <v>Oct</v>
      </c>
      <c r="P226" s="12">
        <f>YEAR(InputData[[#This Row],[DATE]])</f>
        <v>2021</v>
      </c>
      <c r="Q226" s="12"/>
    </row>
    <row r="227" spans="1:17" x14ac:dyDescent="0.3">
      <c r="A227" s="10">
        <v>44497</v>
      </c>
      <c r="B227" s="11" t="s">
        <v>22</v>
      </c>
      <c r="C227" s="12">
        <v>1</v>
      </c>
      <c r="D227" s="12" t="s">
        <v>108</v>
      </c>
      <c r="E227" s="12" t="s">
        <v>107</v>
      </c>
      <c r="F227" s="13">
        <v>0</v>
      </c>
      <c r="G227" s="12" t="str">
        <f>VLOOKUP(InputData[[#This Row],[PRODUCT ID]],MasterData[],2,0)</f>
        <v>Product08</v>
      </c>
      <c r="H227" s="12" t="str">
        <f>VLOOKUP(InputData[[#This Row],[PRODUCT ID]],MasterData[],3,0)</f>
        <v>Category01</v>
      </c>
      <c r="I227" s="12" t="str">
        <f>VLOOKUP(InputData[[#This Row],[PRODUCT ID]],MasterData[],4,0)</f>
        <v>Kg</v>
      </c>
      <c r="J227" s="14">
        <f>VLOOKUP(InputData[[#This Row],[PRODUCT ID]],MasterData[],5,0)</f>
        <v>83</v>
      </c>
      <c r="K227" s="14">
        <f>VLOOKUP(InputData[[#This Row],[PRODUCT ID]],MasterData[],5,0)</f>
        <v>83</v>
      </c>
      <c r="L227" s="14">
        <f>InputData[[#This Row],[BUYING PRIZE]]*InputData[[#This Row],[QUANTITY]]</f>
        <v>83</v>
      </c>
      <c r="M227" s="14">
        <f>InputData[[#This Row],[SELLING PRICE]]*InputData[[#This Row],[QUANTITY]]*(1-InputData[[#This Row],[DISCOUNT %]])</f>
        <v>83</v>
      </c>
      <c r="N227" s="12">
        <f>DAY(InputData[[#This Row],[DATE]])</f>
        <v>28</v>
      </c>
      <c r="O227" s="12" t="str">
        <f>TEXT(InputData[[#This Row],[DATE]],"mmm")</f>
        <v>Oct</v>
      </c>
      <c r="P227" s="12">
        <f>YEAR(InputData[[#This Row],[DATE]])</f>
        <v>2021</v>
      </c>
      <c r="Q227" s="12"/>
    </row>
    <row r="228" spans="1:17" x14ac:dyDescent="0.3">
      <c r="A228" s="10">
        <v>44498</v>
      </c>
      <c r="B228" s="11" t="s">
        <v>86</v>
      </c>
      <c r="C228" s="12">
        <v>14</v>
      </c>
      <c r="D228" s="12" t="s">
        <v>106</v>
      </c>
      <c r="E228" s="12" t="s">
        <v>106</v>
      </c>
      <c r="F228" s="13">
        <v>0</v>
      </c>
      <c r="G228" s="12" t="str">
        <f>VLOOKUP(InputData[[#This Row],[PRODUCT ID]],MasterData[],2,0)</f>
        <v>Product38</v>
      </c>
      <c r="H228" s="12" t="str">
        <f>VLOOKUP(InputData[[#This Row],[PRODUCT ID]],MasterData[],3,0)</f>
        <v>Category05</v>
      </c>
      <c r="I228" s="12" t="str">
        <f>VLOOKUP(InputData[[#This Row],[PRODUCT ID]],MasterData[],4,0)</f>
        <v>Kg</v>
      </c>
      <c r="J228" s="14">
        <f>VLOOKUP(InputData[[#This Row],[PRODUCT ID]],MasterData[],5,0)</f>
        <v>72</v>
      </c>
      <c r="K228" s="14">
        <f>VLOOKUP(InputData[[#This Row],[PRODUCT ID]],MasterData[],5,0)</f>
        <v>72</v>
      </c>
      <c r="L228" s="14">
        <f>InputData[[#This Row],[BUYING PRIZE]]*InputData[[#This Row],[QUANTITY]]</f>
        <v>1008</v>
      </c>
      <c r="M228" s="14">
        <f>InputData[[#This Row],[SELLING PRICE]]*InputData[[#This Row],[QUANTITY]]*(1-InputData[[#This Row],[DISCOUNT %]])</f>
        <v>1008</v>
      </c>
      <c r="N228" s="12">
        <f>DAY(InputData[[#This Row],[DATE]])</f>
        <v>29</v>
      </c>
      <c r="O228" s="12" t="str">
        <f>TEXT(InputData[[#This Row],[DATE]],"mmm")</f>
        <v>Oct</v>
      </c>
      <c r="P228" s="12">
        <f>YEAR(InputData[[#This Row],[DATE]])</f>
        <v>2021</v>
      </c>
      <c r="Q228" s="12"/>
    </row>
    <row r="229" spans="1:17" x14ac:dyDescent="0.3">
      <c r="A229" s="10">
        <v>44500</v>
      </c>
      <c r="B229" s="11" t="s">
        <v>50</v>
      </c>
      <c r="C229" s="12">
        <v>6</v>
      </c>
      <c r="D229" s="12" t="s">
        <v>106</v>
      </c>
      <c r="E229" s="12" t="s">
        <v>107</v>
      </c>
      <c r="F229" s="13">
        <v>0</v>
      </c>
      <c r="G229" s="12" t="str">
        <f>VLOOKUP(InputData[[#This Row],[PRODUCT ID]],MasterData[],2,0)</f>
        <v>Product21</v>
      </c>
      <c r="H229" s="12" t="str">
        <f>VLOOKUP(InputData[[#This Row],[PRODUCT ID]],MasterData[],3,0)</f>
        <v>Category03</v>
      </c>
      <c r="I229" s="12" t="str">
        <f>VLOOKUP(InputData[[#This Row],[PRODUCT ID]],MasterData[],4,0)</f>
        <v>Ft</v>
      </c>
      <c r="J229" s="14">
        <f>VLOOKUP(InputData[[#This Row],[PRODUCT ID]],MasterData[],5,0)</f>
        <v>126</v>
      </c>
      <c r="K229" s="14">
        <f>VLOOKUP(InputData[[#This Row],[PRODUCT ID]],MasterData[],5,0)</f>
        <v>126</v>
      </c>
      <c r="L229" s="14">
        <f>InputData[[#This Row],[BUYING PRIZE]]*InputData[[#This Row],[QUANTITY]]</f>
        <v>756</v>
      </c>
      <c r="M229" s="14">
        <f>InputData[[#This Row],[SELLING PRICE]]*InputData[[#This Row],[QUANTITY]]*(1-InputData[[#This Row],[DISCOUNT %]])</f>
        <v>756</v>
      </c>
      <c r="N229" s="12">
        <f>DAY(InputData[[#This Row],[DATE]])</f>
        <v>31</v>
      </c>
      <c r="O229" s="12" t="str">
        <f>TEXT(InputData[[#This Row],[DATE]],"mmm")</f>
        <v>Oct</v>
      </c>
      <c r="P229" s="12">
        <f>YEAR(InputData[[#This Row],[DATE]])</f>
        <v>2021</v>
      </c>
      <c r="Q229" s="12"/>
    </row>
    <row r="230" spans="1:17" x14ac:dyDescent="0.3">
      <c r="A230" s="10">
        <v>44503</v>
      </c>
      <c r="B230" s="11" t="s">
        <v>33</v>
      </c>
      <c r="C230" s="12">
        <v>12</v>
      </c>
      <c r="D230" s="12" t="s">
        <v>108</v>
      </c>
      <c r="E230" s="12" t="s">
        <v>107</v>
      </c>
      <c r="F230" s="13">
        <v>0</v>
      </c>
      <c r="G230" s="12" t="str">
        <f>VLOOKUP(InputData[[#This Row],[PRODUCT ID]],MasterData[],2,0)</f>
        <v>Product13</v>
      </c>
      <c r="H230" s="12" t="str">
        <f>VLOOKUP(InputData[[#This Row],[PRODUCT ID]],MasterData[],3,0)</f>
        <v>Category02</v>
      </c>
      <c r="I230" s="12" t="str">
        <f>VLOOKUP(InputData[[#This Row],[PRODUCT ID]],MasterData[],4,0)</f>
        <v>Kg</v>
      </c>
      <c r="J230" s="14">
        <f>VLOOKUP(InputData[[#This Row],[PRODUCT ID]],MasterData[],5,0)</f>
        <v>112</v>
      </c>
      <c r="K230" s="14">
        <f>VLOOKUP(InputData[[#This Row],[PRODUCT ID]],MasterData[],5,0)</f>
        <v>112</v>
      </c>
      <c r="L230" s="14">
        <f>InputData[[#This Row],[BUYING PRIZE]]*InputData[[#This Row],[QUANTITY]]</f>
        <v>1344</v>
      </c>
      <c r="M230" s="14">
        <f>InputData[[#This Row],[SELLING PRICE]]*InputData[[#This Row],[QUANTITY]]*(1-InputData[[#This Row],[DISCOUNT %]])</f>
        <v>1344</v>
      </c>
      <c r="N230" s="12">
        <f>DAY(InputData[[#This Row],[DATE]])</f>
        <v>3</v>
      </c>
      <c r="O230" s="12" t="str">
        <f>TEXT(InputData[[#This Row],[DATE]],"mmm")</f>
        <v>Nov</v>
      </c>
      <c r="P230" s="12">
        <f>YEAR(InputData[[#This Row],[DATE]])</f>
        <v>2021</v>
      </c>
      <c r="Q230" s="12"/>
    </row>
    <row r="231" spans="1:17" x14ac:dyDescent="0.3">
      <c r="A231" s="10">
        <v>44506</v>
      </c>
      <c r="B231" s="11" t="s">
        <v>81</v>
      </c>
      <c r="C231" s="12">
        <v>10</v>
      </c>
      <c r="D231" s="12" t="s">
        <v>108</v>
      </c>
      <c r="E231" s="12" t="s">
        <v>106</v>
      </c>
      <c r="F231" s="13">
        <v>0</v>
      </c>
      <c r="G231" s="12" t="str">
        <f>VLOOKUP(InputData[[#This Row],[PRODUCT ID]],MasterData[],2,0)</f>
        <v>Product36</v>
      </c>
      <c r="H231" s="12" t="str">
        <f>VLOOKUP(InputData[[#This Row],[PRODUCT ID]],MasterData[],3,0)</f>
        <v>Category04</v>
      </c>
      <c r="I231" s="12" t="str">
        <f>VLOOKUP(InputData[[#This Row],[PRODUCT ID]],MasterData[],4,0)</f>
        <v>Kg</v>
      </c>
      <c r="J231" s="14">
        <f>VLOOKUP(InputData[[#This Row],[PRODUCT ID]],MasterData[],5,0)</f>
        <v>90</v>
      </c>
      <c r="K231" s="14">
        <f>VLOOKUP(InputData[[#This Row],[PRODUCT ID]],MasterData[],5,0)</f>
        <v>90</v>
      </c>
      <c r="L231" s="14">
        <f>InputData[[#This Row],[BUYING PRIZE]]*InputData[[#This Row],[QUANTITY]]</f>
        <v>900</v>
      </c>
      <c r="M231" s="14">
        <f>InputData[[#This Row],[SELLING PRICE]]*InputData[[#This Row],[QUANTITY]]*(1-InputData[[#This Row],[DISCOUNT %]])</f>
        <v>900</v>
      </c>
      <c r="N231" s="12">
        <f>DAY(InputData[[#This Row],[DATE]])</f>
        <v>6</v>
      </c>
      <c r="O231" s="12" t="str">
        <f>TEXT(InputData[[#This Row],[DATE]],"mmm")</f>
        <v>Nov</v>
      </c>
      <c r="P231" s="12">
        <f>YEAR(InputData[[#This Row],[DATE]])</f>
        <v>2021</v>
      </c>
      <c r="Q231" s="12"/>
    </row>
    <row r="232" spans="1:17" x14ac:dyDescent="0.3">
      <c r="A232" s="10">
        <v>44508</v>
      </c>
      <c r="B232" s="11" t="s">
        <v>20</v>
      </c>
      <c r="C232" s="12">
        <v>15</v>
      </c>
      <c r="D232" s="12" t="s">
        <v>108</v>
      </c>
      <c r="E232" s="12" t="s">
        <v>106</v>
      </c>
      <c r="F232" s="13">
        <v>0</v>
      </c>
      <c r="G232" s="12" t="str">
        <f>VLOOKUP(InputData[[#This Row],[PRODUCT ID]],MasterData[],2,0)</f>
        <v>Product07</v>
      </c>
      <c r="H232" s="12" t="str">
        <f>VLOOKUP(InputData[[#This Row],[PRODUCT ID]],MasterData[],3,0)</f>
        <v>Category01</v>
      </c>
      <c r="I232" s="12" t="str">
        <f>VLOOKUP(InputData[[#This Row],[PRODUCT ID]],MasterData[],4,0)</f>
        <v>Lt</v>
      </c>
      <c r="J232" s="14">
        <f>VLOOKUP(InputData[[#This Row],[PRODUCT ID]],MasterData[],5,0)</f>
        <v>43</v>
      </c>
      <c r="K232" s="14">
        <f>VLOOKUP(InputData[[#This Row],[PRODUCT ID]],MasterData[],5,0)</f>
        <v>43</v>
      </c>
      <c r="L232" s="14">
        <f>InputData[[#This Row],[BUYING PRIZE]]*InputData[[#This Row],[QUANTITY]]</f>
        <v>645</v>
      </c>
      <c r="M232" s="14">
        <f>InputData[[#This Row],[SELLING PRICE]]*InputData[[#This Row],[QUANTITY]]*(1-InputData[[#This Row],[DISCOUNT %]])</f>
        <v>645</v>
      </c>
      <c r="N232" s="12">
        <f>DAY(InputData[[#This Row],[DATE]])</f>
        <v>8</v>
      </c>
      <c r="O232" s="12" t="str">
        <f>TEXT(InputData[[#This Row],[DATE]],"mmm")</f>
        <v>Nov</v>
      </c>
      <c r="P232" s="12">
        <f>YEAR(InputData[[#This Row],[DATE]])</f>
        <v>2021</v>
      </c>
      <c r="Q232" s="12"/>
    </row>
    <row r="233" spans="1:17" x14ac:dyDescent="0.3">
      <c r="A233" s="10">
        <v>44510</v>
      </c>
      <c r="B233" s="11" t="s">
        <v>94</v>
      </c>
      <c r="C233" s="12">
        <v>6</v>
      </c>
      <c r="D233" s="12" t="s">
        <v>106</v>
      </c>
      <c r="E233" s="12" t="s">
        <v>107</v>
      </c>
      <c r="F233" s="13">
        <v>0</v>
      </c>
      <c r="G233" s="12" t="str">
        <f>VLOOKUP(InputData[[#This Row],[PRODUCT ID]],MasterData[],2,0)</f>
        <v>Product42</v>
      </c>
      <c r="H233" s="12" t="str">
        <f>VLOOKUP(InputData[[#This Row],[PRODUCT ID]],MasterData[],3,0)</f>
        <v>Category05</v>
      </c>
      <c r="I233" s="12" t="str">
        <f>VLOOKUP(InputData[[#This Row],[PRODUCT ID]],MasterData[],4,0)</f>
        <v>Ft</v>
      </c>
      <c r="J233" s="14">
        <f>VLOOKUP(InputData[[#This Row],[PRODUCT ID]],MasterData[],5,0)</f>
        <v>120</v>
      </c>
      <c r="K233" s="14">
        <f>VLOOKUP(InputData[[#This Row],[PRODUCT ID]],MasterData[],5,0)</f>
        <v>120</v>
      </c>
      <c r="L233" s="14">
        <f>InputData[[#This Row],[BUYING PRIZE]]*InputData[[#This Row],[QUANTITY]]</f>
        <v>720</v>
      </c>
      <c r="M233" s="14">
        <f>InputData[[#This Row],[SELLING PRICE]]*InputData[[#This Row],[QUANTITY]]*(1-InputData[[#This Row],[DISCOUNT %]])</f>
        <v>720</v>
      </c>
      <c r="N233" s="12">
        <f>DAY(InputData[[#This Row],[DATE]])</f>
        <v>10</v>
      </c>
      <c r="O233" s="12" t="str">
        <f>TEXT(InputData[[#This Row],[DATE]],"mmm")</f>
        <v>Nov</v>
      </c>
      <c r="P233" s="12">
        <f>YEAR(InputData[[#This Row],[DATE]])</f>
        <v>2021</v>
      </c>
      <c r="Q233" s="12"/>
    </row>
    <row r="234" spans="1:17" x14ac:dyDescent="0.3">
      <c r="A234" s="10">
        <v>44511</v>
      </c>
      <c r="B234" s="11" t="s">
        <v>90</v>
      </c>
      <c r="C234" s="12">
        <v>12</v>
      </c>
      <c r="D234" s="12" t="s">
        <v>105</v>
      </c>
      <c r="E234" s="12" t="s">
        <v>106</v>
      </c>
      <c r="F234" s="13">
        <v>0</v>
      </c>
      <c r="G234" s="12" t="str">
        <f>VLOOKUP(InputData[[#This Row],[PRODUCT ID]],MasterData[],2,0)</f>
        <v>Product40</v>
      </c>
      <c r="H234" s="12" t="str">
        <f>VLOOKUP(InputData[[#This Row],[PRODUCT ID]],MasterData[],3,0)</f>
        <v>Category05</v>
      </c>
      <c r="I234" s="12" t="str">
        <f>VLOOKUP(InputData[[#This Row],[PRODUCT ID]],MasterData[],4,0)</f>
        <v>Kg</v>
      </c>
      <c r="J234" s="14">
        <f>VLOOKUP(InputData[[#This Row],[PRODUCT ID]],MasterData[],5,0)</f>
        <v>90</v>
      </c>
      <c r="K234" s="14">
        <f>VLOOKUP(InputData[[#This Row],[PRODUCT ID]],MasterData[],5,0)</f>
        <v>90</v>
      </c>
      <c r="L234" s="14">
        <f>InputData[[#This Row],[BUYING PRIZE]]*InputData[[#This Row],[QUANTITY]]</f>
        <v>1080</v>
      </c>
      <c r="M234" s="14">
        <f>InputData[[#This Row],[SELLING PRICE]]*InputData[[#This Row],[QUANTITY]]*(1-InputData[[#This Row],[DISCOUNT %]])</f>
        <v>1080</v>
      </c>
      <c r="N234" s="12">
        <f>DAY(InputData[[#This Row],[DATE]])</f>
        <v>11</v>
      </c>
      <c r="O234" s="12" t="str">
        <f>TEXT(InputData[[#This Row],[DATE]],"mmm")</f>
        <v>Nov</v>
      </c>
      <c r="P234" s="12">
        <f>YEAR(InputData[[#This Row],[DATE]])</f>
        <v>2021</v>
      </c>
      <c r="Q234" s="12"/>
    </row>
    <row r="235" spans="1:17" x14ac:dyDescent="0.3">
      <c r="A235" s="10">
        <v>44512</v>
      </c>
      <c r="B235" s="11" t="s">
        <v>26</v>
      </c>
      <c r="C235" s="12">
        <v>3</v>
      </c>
      <c r="D235" s="12" t="s">
        <v>106</v>
      </c>
      <c r="E235" s="12" t="s">
        <v>107</v>
      </c>
      <c r="F235" s="13">
        <v>0</v>
      </c>
      <c r="G235" s="12" t="str">
        <f>VLOOKUP(InputData[[#This Row],[PRODUCT ID]],MasterData[],2,0)</f>
        <v>Product10</v>
      </c>
      <c r="H235" s="12" t="str">
        <f>VLOOKUP(InputData[[#This Row],[PRODUCT ID]],MasterData[],3,0)</f>
        <v>Category02</v>
      </c>
      <c r="I235" s="12" t="str">
        <f>VLOOKUP(InputData[[#This Row],[PRODUCT ID]],MasterData[],4,0)</f>
        <v>Ft</v>
      </c>
      <c r="J235" s="14">
        <f>VLOOKUP(InputData[[#This Row],[PRODUCT ID]],MasterData[],5,0)</f>
        <v>148</v>
      </c>
      <c r="K235" s="14">
        <f>VLOOKUP(InputData[[#This Row],[PRODUCT ID]],MasterData[],5,0)</f>
        <v>148</v>
      </c>
      <c r="L235" s="14">
        <f>InputData[[#This Row],[BUYING PRIZE]]*InputData[[#This Row],[QUANTITY]]</f>
        <v>444</v>
      </c>
      <c r="M235" s="14">
        <f>InputData[[#This Row],[SELLING PRICE]]*InputData[[#This Row],[QUANTITY]]*(1-InputData[[#This Row],[DISCOUNT %]])</f>
        <v>444</v>
      </c>
      <c r="N235" s="12">
        <f>DAY(InputData[[#This Row],[DATE]])</f>
        <v>12</v>
      </c>
      <c r="O235" s="12" t="str">
        <f>TEXT(InputData[[#This Row],[DATE]],"mmm")</f>
        <v>Nov</v>
      </c>
      <c r="P235" s="12">
        <f>YEAR(InputData[[#This Row],[DATE]])</f>
        <v>2021</v>
      </c>
      <c r="Q235" s="12"/>
    </row>
    <row r="236" spans="1:17" x14ac:dyDescent="0.3">
      <c r="A236" s="10">
        <v>44520</v>
      </c>
      <c r="B236" s="11" t="s">
        <v>77</v>
      </c>
      <c r="C236" s="12">
        <v>14</v>
      </c>
      <c r="D236" s="12" t="s">
        <v>106</v>
      </c>
      <c r="E236" s="12" t="s">
        <v>106</v>
      </c>
      <c r="F236" s="13">
        <v>0</v>
      </c>
      <c r="G236" s="12" t="str">
        <f>VLOOKUP(InputData[[#This Row],[PRODUCT ID]],MasterData[],2,0)</f>
        <v>Product34</v>
      </c>
      <c r="H236" s="12" t="str">
        <f>VLOOKUP(InputData[[#This Row],[PRODUCT ID]],MasterData[],3,0)</f>
        <v>Category04</v>
      </c>
      <c r="I236" s="12" t="str">
        <f>VLOOKUP(InputData[[#This Row],[PRODUCT ID]],MasterData[],4,0)</f>
        <v>Lt</v>
      </c>
      <c r="J236" s="14">
        <f>VLOOKUP(InputData[[#This Row],[PRODUCT ID]],MasterData[],5,0)</f>
        <v>55</v>
      </c>
      <c r="K236" s="14">
        <f>VLOOKUP(InputData[[#This Row],[PRODUCT ID]],MasterData[],5,0)</f>
        <v>55</v>
      </c>
      <c r="L236" s="14">
        <f>InputData[[#This Row],[BUYING PRIZE]]*InputData[[#This Row],[QUANTITY]]</f>
        <v>770</v>
      </c>
      <c r="M236" s="14">
        <f>InputData[[#This Row],[SELLING PRICE]]*InputData[[#This Row],[QUANTITY]]*(1-InputData[[#This Row],[DISCOUNT %]])</f>
        <v>770</v>
      </c>
      <c r="N236" s="12">
        <f>DAY(InputData[[#This Row],[DATE]])</f>
        <v>20</v>
      </c>
      <c r="O236" s="12" t="str">
        <f>TEXT(InputData[[#This Row],[DATE]],"mmm")</f>
        <v>Nov</v>
      </c>
      <c r="P236" s="12">
        <f>YEAR(InputData[[#This Row],[DATE]])</f>
        <v>2021</v>
      </c>
      <c r="Q236" s="12"/>
    </row>
    <row r="237" spans="1:17" x14ac:dyDescent="0.3">
      <c r="A237" s="10">
        <v>44520</v>
      </c>
      <c r="B237" s="11" t="s">
        <v>22</v>
      </c>
      <c r="C237" s="12">
        <v>11</v>
      </c>
      <c r="D237" s="12" t="s">
        <v>106</v>
      </c>
      <c r="E237" s="12" t="s">
        <v>107</v>
      </c>
      <c r="F237" s="13">
        <v>0</v>
      </c>
      <c r="G237" s="12" t="str">
        <f>VLOOKUP(InputData[[#This Row],[PRODUCT ID]],MasterData[],2,0)</f>
        <v>Product08</v>
      </c>
      <c r="H237" s="12" t="str">
        <f>VLOOKUP(InputData[[#This Row],[PRODUCT ID]],MasterData[],3,0)</f>
        <v>Category01</v>
      </c>
      <c r="I237" s="12" t="str">
        <f>VLOOKUP(InputData[[#This Row],[PRODUCT ID]],MasterData[],4,0)</f>
        <v>Kg</v>
      </c>
      <c r="J237" s="14">
        <f>VLOOKUP(InputData[[#This Row],[PRODUCT ID]],MasterData[],5,0)</f>
        <v>83</v>
      </c>
      <c r="K237" s="14">
        <f>VLOOKUP(InputData[[#This Row],[PRODUCT ID]],MasterData[],5,0)</f>
        <v>83</v>
      </c>
      <c r="L237" s="14">
        <f>InputData[[#This Row],[BUYING PRIZE]]*InputData[[#This Row],[QUANTITY]]</f>
        <v>913</v>
      </c>
      <c r="M237" s="14">
        <f>InputData[[#This Row],[SELLING PRICE]]*InputData[[#This Row],[QUANTITY]]*(1-InputData[[#This Row],[DISCOUNT %]])</f>
        <v>913</v>
      </c>
      <c r="N237" s="12">
        <f>DAY(InputData[[#This Row],[DATE]])</f>
        <v>20</v>
      </c>
      <c r="O237" s="12" t="str">
        <f>TEXT(InputData[[#This Row],[DATE]],"mmm")</f>
        <v>Nov</v>
      </c>
      <c r="P237" s="12">
        <f>YEAR(InputData[[#This Row],[DATE]])</f>
        <v>2021</v>
      </c>
      <c r="Q237" s="12"/>
    </row>
    <row r="238" spans="1:17" x14ac:dyDescent="0.3">
      <c r="A238" s="10">
        <v>44521</v>
      </c>
      <c r="B238" s="11" t="s">
        <v>35</v>
      </c>
      <c r="C238" s="12">
        <v>1</v>
      </c>
      <c r="D238" s="12" t="s">
        <v>105</v>
      </c>
      <c r="E238" s="12" t="s">
        <v>106</v>
      </c>
      <c r="F238" s="13">
        <v>0</v>
      </c>
      <c r="G238" s="12" t="str">
        <f>VLOOKUP(InputData[[#This Row],[PRODUCT ID]],MasterData[],2,0)</f>
        <v>Product14</v>
      </c>
      <c r="H238" s="12" t="str">
        <f>VLOOKUP(InputData[[#This Row],[PRODUCT ID]],MasterData[],3,0)</f>
        <v>Category02</v>
      </c>
      <c r="I238" s="12" t="str">
        <f>VLOOKUP(InputData[[#This Row],[PRODUCT ID]],MasterData[],4,0)</f>
        <v>Kg</v>
      </c>
      <c r="J238" s="14">
        <f>VLOOKUP(InputData[[#This Row],[PRODUCT ID]],MasterData[],5,0)</f>
        <v>112</v>
      </c>
      <c r="K238" s="14">
        <f>VLOOKUP(InputData[[#This Row],[PRODUCT ID]],MasterData[],5,0)</f>
        <v>112</v>
      </c>
      <c r="L238" s="14">
        <f>InputData[[#This Row],[BUYING PRIZE]]*InputData[[#This Row],[QUANTITY]]</f>
        <v>112</v>
      </c>
      <c r="M238" s="14">
        <f>InputData[[#This Row],[SELLING PRICE]]*InputData[[#This Row],[QUANTITY]]*(1-InputData[[#This Row],[DISCOUNT %]])</f>
        <v>112</v>
      </c>
      <c r="N238" s="12">
        <f>DAY(InputData[[#This Row],[DATE]])</f>
        <v>21</v>
      </c>
      <c r="O238" s="12" t="str">
        <f>TEXT(InputData[[#This Row],[DATE]],"mmm")</f>
        <v>Nov</v>
      </c>
      <c r="P238" s="12">
        <f>YEAR(InputData[[#This Row],[DATE]])</f>
        <v>2021</v>
      </c>
      <c r="Q238" s="12"/>
    </row>
    <row r="239" spans="1:17" x14ac:dyDescent="0.3">
      <c r="A239" s="10">
        <v>44521</v>
      </c>
      <c r="B239" s="11" t="s">
        <v>18</v>
      </c>
      <c r="C239" s="12">
        <v>1</v>
      </c>
      <c r="D239" s="12" t="s">
        <v>106</v>
      </c>
      <c r="E239" s="12" t="s">
        <v>107</v>
      </c>
      <c r="F239" s="13">
        <v>0</v>
      </c>
      <c r="G239" s="12" t="str">
        <f>VLOOKUP(InputData[[#This Row],[PRODUCT ID]],MasterData[],2,0)</f>
        <v>Product06</v>
      </c>
      <c r="H239" s="12" t="str">
        <f>VLOOKUP(InputData[[#This Row],[PRODUCT ID]],MasterData[],3,0)</f>
        <v>Category01</v>
      </c>
      <c r="I239" s="12" t="str">
        <f>VLOOKUP(InputData[[#This Row],[PRODUCT ID]],MasterData[],4,0)</f>
        <v>Kg</v>
      </c>
      <c r="J239" s="14">
        <f>VLOOKUP(InputData[[#This Row],[PRODUCT ID]],MasterData[],5,0)</f>
        <v>75</v>
      </c>
      <c r="K239" s="14">
        <f>VLOOKUP(InputData[[#This Row],[PRODUCT ID]],MasterData[],5,0)</f>
        <v>75</v>
      </c>
      <c r="L239" s="14">
        <f>InputData[[#This Row],[BUYING PRIZE]]*InputData[[#This Row],[QUANTITY]]</f>
        <v>75</v>
      </c>
      <c r="M239" s="14">
        <f>InputData[[#This Row],[SELLING PRICE]]*InputData[[#This Row],[QUANTITY]]*(1-InputData[[#This Row],[DISCOUNT %]])</f>
        <v>75</v>
      </c>
      <c r="N239" s="12">
        <f>DAY(InputData[[#This Row],[DATE]])</f>
        <v>21</v>
      </c>
      <c r="O239" s="12" t="str">
        <f>TEXT(InputData[[#This Row],[DATE]],"mmm")</f>
        <v>Nov</v>
      </c>
      <c r="P239" s="12">
        <f>YEAR(InputData[[#This Row],[DATE]])</f>
        <v>2021</v>
      </c>
      <c r="Q239" s="12"/>
    </row>
    <row r="240" spans="1:17" x14ac:dyDescent="0.3">
      <c r="A240" s="10">
        <v>44527</v>
      </c>
      <c r="B240" s="11" t="s">
        <v>31</v>
      </c>
      <c r="C240" s="12">
        <v>8</v>
      </c>
      <c r="D240" s="12" t="s">
        <v>106</v>
      </c>
      <c r="E240" s="12" t="s">
        <v>106</v>
      </c>
      <c r="F240" s="13">
        <v>0</v>
      </c>
      <c r="G240" s="12" t="str">
        <f>VLOOKUP(InputData[[#This Row],[PRODUCT ID]],MasterData[],2,0)</f>
        <v>Product12</v>
      </c>
      <c r="H240" s="12" t="str">
        <f>VLOOKUP(InputData[[#This Row],[PRODUCT ID]],MasterData[],3,0)</f>
        <v>Category02</v>
      </c>
      <c r="I240" s="12" t="str">
        <f>VLOOKUP(InputData[[#This Row],[PRODUCT ID]],MasterData[],4,0)</f>
        <v>Kg</v>
      </c>
      <c r="J240" s="14">
        <f>VLOOKUP(InputData[[#This Row],[PRODUCT ID]],MasterData[],5,0)</f>
        <v>73</v>
      </c>
      <c r="K240" s="14">
        <f>VLOOKUP(InputData[[#This Row],[PRODUCT ID]],MasterData[],5,0)</f>
        <v>73</v>
      </c>
      <c r="L240" s="14">
        <f>InputData[[#This Row],[BUYING PRIZE]]*InputData[[#This Row],[QUANTITY]]</f>
        <v>584</v>
      </c>
      <c r="M240" s="14">
        <f>InputData[[#This Row],[SELLING PRICE]]*InputData[[#This Row],[QUANTITY]]*(1-InputData[[#This Row],[DISCOUNT %]])</f>
        <v>584</v>
      </c>
      <c r="N240" s="12">
        <f>DAY(InputData[[#This Row],[DATE]])</f>
        <v>27</v>
      </c>
      <c r="O240" s="12" t="str">
        <f>TEXT(InputData[[#This Row],[DATE]],"mmm")</f>
        <v>Nov</v>
      </c>
      <c r="P240" s="12">
        <f>YEAR(InputData[[#This Row],[DATE]])</f>
        <v>2021</v>
      </c>
      <c r="Q240" s="12"/>
    </row>
    <row r="241" spans="1:17" x14ac:dyDescent="0.3">
      <c r="A241" s="10">
        <v>44528</v>
      </c>
      <c r="B241" s="11" t="s">
        <v>90</v>
      </c>
      <c r="C241" s="12">
        <v>2</v>
      </c>
      <c r="D241" s="12" t="s">
        <v>108</v>
      </c>
      <c r="E241" s="12" t="s">
        <v>107</v>
      </c>
      <c r="F241" s="13">
        <v>0</v>
      </c>
      <c r="G241" s="12" t="str">
        <f>VLOOKUP(InputData[[#This Row],[PRODUCT ID]],MasterData[],2,0)</f>
        <v>Product40</v>
      </c>
      <c r="H241" s="12" t="str">
        <f>VLOOKUP(InputData[[#This Row],[PRODUCT ID]],MasterData[],3,0)</f>
        <v>Category05</v>
      </c>
      <c r="I241" s="12" t="str">
        <f>VLOOKUP(InputData[[#This Row],[PRODUCT ID]],MasterData[],4,0)</f>
        <v>Kg</v>
      </c>
      <c r="J241" s="14">
        <f>VLOOKUP(InputData[[#This Row],[PRODUCT ID]],MasterData[],5,0)</f>
        <v>90</v>
      </c>
      <c r="K241" s="14">
        <f>VLOOKUP(InputData[[#This Row],[PRODUCT ID]],MasterData[],5,0)</f>
        <v>90</v>
      </c>
      <c r="L241" s="14">
        <f>InputData[[#This Row],[BUYING PRIZE]]*InputData[[#This Row],[QUANTITY]]</f>
        <v>180</v>
      </c>
      <c r="M241" s="14">
        <f>InputData[[#This Row],[SELLING PRICE]]*InputData[[#This Row],[QUANTITY]]*(1-InputData[[#This Row],[DISCOUNT %]])</f>
        <v>180</v>
      </c>
      <c r="N241" s="12">
        <f>DAY(InputData[[#This Row],[DATE]])</f>
        <v>28</v>
      </c>
      <c r="O241" s="12" t="str">
        <f>TEXT(InputData[[#This Row],[DATE]],"mmm")</f>
        <v>Nov</v>
      </c>
      <c r="P241" s="12">
        <f>YEAR(InputData[[#This Row],[DATE]])</f>
        <v>2021</v>
      </c>
      <c r="Q241" s="12"/>
    </row>
    <row r="242" spans="1:17" x14ac:dyDescent="0.3">
      <c r="A242" s="10">
        <v>44530</v>
      </c>
      <c r="B242" s="11" t="s">
        <v>88</v>
      </c>
      <c r="C242" s="12">
        <v>15</v>
      </c>
      <c r="D242" s="12" t="s">
        <v>108</v>
      </c>
      <c r="E242" s="12" t="s">
        <v>106</v>
      </c>
      <c r="F242" s="13">
        <v>0</v>
      </c>
      <c r="G242" s="12" t="str">
        <f>VLOOKUP(InputData[[#This Row],[PRODUCT ID]],MasterData[],2,0)</f>
        <v>Product39</v>
      </c>
      <c r="H242" s="12" t="str">
        <f>VLOOKUP(InputData[[#This Row],[PRODUCT ID]],MasterData[],3,0)</f>
        <v>Category05</v>
      </c>
      <c r="I242" s="12" t="str">
        <f>VLOOKUP(InputData[[#This Row],[PRODUCT ID]],MasterData[],4,0)</f>
        <v>No.</v>
      </c>
      <c r="J242" s="14">
        <f>VLOOKUP(InputData[[#This Row],[PRODUCT ID]],MasterData[],5,0)</f>
        <v>37</v>
      </c>
      <c r="K242" s="14">
        <f>VLOOKUP(InputData[[#This Row],[PRODUCT ID]],MasterData[],5,0)</f>
        <v>37</v>
      </c>
      <c r="L242" s="14">
        <f>InputData[[#This Row],[BUYING PRIZE]]*InputData[[#This Row],[QUANTITY]]</f>
        <v>555</v>
      </c>
      <c r="M242" s="14">
        <f>InputData[[#This Row],[SELLING PRICE]]*InputData[[#This Row],[QUANTITY]]*(1-InputData[[#This Row],[DISCOUNT %]])</f>
        <v>555</v>
      </c>
      <c r="N242" s="12">
        <f>DAY(InputData[[#This Row],[DATE]])</f>
        <v>30</v>
      </c>
      <c r="O242" s="12" t="str">
        <f>TEXT(InputData[[#This Row],[DATE]],"mmm")</f>
        <v>Nov</v>
      </c>
      <c r="P242" s="12">
        <f>YEAR(InputData[[#This Row],[DATE]])</f>
        <v>2021</v>
      </c>
      <c r="Q242" s="12"/>
    </row>
    <row r="243" spans="1:17" x14ac:dyDescent="0.3">
      <c r="A243" s="10">
        <v>44532</v>
      </c>
      <c r="B243" s="11" t="s">
        <v>39</v>
      </c>
      <c r="C243" s="12">
        <v>10</v>
      </c>
      <c r="D243" s="12" t="s">
        <v>108</v>
      </c>
      <c r="E243" s="12" t="s">
        <v>107</v>
      </c>
      <c r="F243" s="13">
        <v>0</v>
      </c>
      <c r="G243" s="12" t="str">
        <f>VLOOKUP(InputData[[#This Row],[PRODUCT ID]],MasterData[],2,0)</f>
        <v>Product16</v>
      </c>
      <c r="H243" s="12" t="str">
        <f>VLOOKUP(InputData[[#This Row],[PRODUCT ID]],MasterData[],3,0)</f>
        <v>Category02</v>
      </c>
      <c r="I243" s="12" t="str">
        <f>VLOOKUP(InputData[[#This Row],[PRODUCT ID]],MasterData[],4,0)</f>
        <v>No.</v>
      </c>
      <c r="J243" s="14">
        <f>VLOOKUP(InputData[[#This Row],[PRODUCT ID]],MasterData[],5,0)</f>
        <v>13</v>
      </c>
      <c r="K243" s="14">
        <f>VLOOKUP(InputData[[#This Row],[PRODUCT ID]],MasterData[],5,0)</f>
        <v>13</v>
      </c>
      <c r="L243" s="14">
        <f>InputData[[#This Row],[BUYING PRIZE]]*InputData[[#This Row],[QUANTITY]]</f>
        <v>130</v>
      </c>
      <c r="M243" s="14">
        <f>InputData[[#This Row],[SELLING PRICE]]*InputData[[#This Row],[QUANTITY]]*(1-InputData[[#This Row],[DISCOUNT %]])</f>
        <v>130</v>
      </c>
      <c r="N243" s="12">
        <f>DAY(InputData[[#This Row],[DATE]])</f>
        <v>2</v>
      </c>
      <c r="O243" s="12" t="str">
        <f>TEXT(InputData[[#This Row],[DATE]],"mmm")</f>
        <v>Dec</v>
      </c>
      <c r="P243" s="12">
        <f>YEAR(InputData[[#This Row],[DATE]])</f>
        <v>2021</v>
      </c>
      <c r="Q243" s="12"/>
    </row>
    <row r="244" spans="1:17" x14ac:dyDescent="0.3">
      <c r="A244" s="10">
        <v>44533</v>
      </c>
      <c r="B244" s="11" t="s">
        <v>77</v>
      </c>
      <c r="C244" s="12">
        <v>2</v>
      </c>
      <c r="D244" s="12" t="s">
        <v>106</v>
      </c>
      <c r="E244" s="12" t="s">
        <v>107</v>
      </c>
      <c r="F244" s="13">
        <v>0</v>
      </c>
      <c r="G244" s="12" t="str">
        <f>VLOOKUP(InputData[[#This Row],[PRODUCT ID]],MasterData[],2,0)</f>
        <v>Product34</v>
      </c>
      <c r="H244" s="12" t="str">
        <f>VLOOKUP(InputData[[#This Row],[PRODUCT ID]],MasterData[],3,0)</f>
        <v>Category04</v>
      </c>
      <c r="I244" s="12" t="str">
        <f>VLOOKUP(InputData[[#This Row],[PRODUCT ID]],MasterData[],4,0)</f>
        <v>Lt</v>
      </c>
      <c r="J244" s="14">
        <f>VLOOKUP(InputData[[#This Row],[PRODUCT ID]],MasterData[],5,0)</f>
        <v>55</v>
      </c>
      <c r="K244" s="14">
        <f>VLOOKUP(InputData[[#This Row],[PRODUCT ID]],MasterData[],5,0)</f>
        <v>55</v>
      </c>
      <c r="L244" s="14">
        <f>InputData[[#This Row],[BUYING PRIZE]]*InputData[[#This Row],[QUANTITY]]</f>
        <v>110</v>
      </c>
      <c r="M244" s="14">
        <f>InputData[[#This Row],[SELLING PRICE]]*InputData[[#This Row],[QUANTITY]]*(1-InputData[[#This Row],[DISCOUNT %]])</f>
        <v>110</v>
      </c>
      <c r="N244" s="12">
        <f>DAY(InputData[[#This Row],[DATE]])</f>
        <v>3</v>
      </c>
      <c r="O244" s="12" t="str">
        <f>TEXT(InputData[[#This Row],[DATE]],"mmm")</f>
        <v>Dec</v>
      </c>
      <c r="P244" s="12">
        <f>YEAR(InputData[[#This Row],[DATE]])</f>
        <v>2021</v>
      </c>
      <c r="Q244" s="12"/>
    </row>
    <row r="245" spans="1:17" x14ac:dyDescent="0.3">
      <c r="A245" s="10">
        <v>44533</v>
      </c>
      <c r="B245" s="11" t="s">
        <v>45</v>
      </c>
      <c r="C245" s="12">
        <v>8</v>
      </c>
      <c r="D245" s="12" t="s">
        <v>106</v>
      </c>
      <c r="E245" s="12" t="s">
        <v>106</v>
      </c>
      <c r="F245" s="13">
        <v>0</v>
      </c>
      <c r="G245" s="12" t="str">
        <f>VLOOKUP(InputData[[#This Row],[PRODUCT ID]],MasterData[],2,0)</f>
        <v>Product19</v>
      </c>
      <c r="H245" s="12" t="str">
        <f>VLOOKUP(InputData[[#This Row],[PRODUCT ID]],MasterData[],3,0)</f>
        <v>Category02</v>
      </c>
      <c r="I245" s="12" t="str">
        <f>VLOOKUP(InputData[[#This Row],[PRODUCT ID]],MasterData[],4,0)</f>
        <v>Ft</v>
      </c>
      <c r="J245" s="14">
        <f>VLOOKUP(InputData[[#This Row],[PRODUCT ID]],MasterData[],5,0)</f>
        <v>150</v>
      </c>
      <c r="K245" s="14">
        <f>VLOOKUP(InputData[[#This Row],[PRODUCT ID]],MasterData[],5,0)</f>
        <v>150</v>
      </c>
      <c r="L245" s="14">
        <f>InputData[[#This Row],[BUYING PRIZE]]*InputData[[#This Row],[QUANTITY]]</f>
        <v>1200</v>
      </c>
      <c r="M245" s="14">
        <f>InputData[[#This Row],[SELLING PRICE]]*InputData[[#This Row],[QUANTITY]]*(1-InputData[[#This Row],[DISCOUNT %]])</f>
        <v>1200</v>
      </c>
      <c r="N245" s="12">
        <f>DAY(InputData[[#This Row],[DATE]])</f>
        <v>3</v>
      </c>
      <c r="O245" s="12" t="str">
        <f>TEXT(InputData[[#This Row],[DATE]],"mmm")</f>
        <v>Dec</v>
      </c>
      <c r="P245" s="12">
        <f>YEAR(InputData[[#This Row],[DATE]])</f>
        <v>2021</v>
      </c>
      <c r="Q245" s="12"/>
    </row>
    <row r="246" spans="1:17" x14ac:dyDescent="0.3">
      <c r="A246" s="10">
        <v>44535</v>
      </c>
      <c r="B246" s="11" t="s">
        <v>14</v>
      </c>
      <c r="C246" s="12">
        <v>15</v>
      </c>
      <c r="D246" s="12" t="s">
        <v>108</v>
      </c>
      <c r="E246" s="12" t="s">
        <v>107</v>
      </c>
      <c r="F246" s="13">
        <v>0</v>
      </c>
      <c r="G246" s="12" t="str">
        <f>VLOOKUP(InputData[[#This Row],[PRODUCT ID]],MasterData[],2,0)</f>
        <v>Product04</v>
      </c>
      <c r="H246" s="12" t="str">
        <f>VLOOKUP(InputData[[#This Row],[PRODUCT ID]],MasterData[],3,0)</f>
        <v>Category01</v>
      </c>
      <c r="I246" s="12" t="str">
        <f>VLOOKUP(InputData[[#This Row],[PRODUCT ID]],MasterData[],4,0)</f>
        <v>Lt</v>
      </c>
      <c r="J246" s="14">
        <f>VLOOKUP(InputData[[#This Row],[PRODUCT ID]],MasterData[],5,0)</f>
        <v>44</v>
      </c>
      <c r="K246" s="14">
        <f>VLOOKUP(InputData[[#This Row],[PRODUCT ID]],MasterData[],5,0)</f>
        <v>44</v>
      </c>
      <c r="L246" s="14">
        <f>InputData[[#This Row],[BUYING PRIZE]]*InputData[[#This Row],[QUANTITY]]</f>
        <v>660</v>
      </c>
      <c r="M246" s="14">
        <f>InputData[[#This Row],[SELLING PRICE]]*InputData[[#This Row],[QUANTITY]]*(1-InputData[[#This Row],[DISCOUNT %]])</f>
        <v>660</v>
      </c>
      <c r="N246" s="12">
        <f>DAY(InputData[[#This Row],[DATE]])</f>
        <v>5</v>
      </c>
      <c r="O246" s="12" t="str">
        <f>TEXT(InputData[[#This Row],[DATE]],"mmm")</f>
        <v>Dec</v>
      </c>
      <c r="P246" s="12">
        <f>YEAR(InputData[[#This Row],[DATE]])</f>
        <v>2021</v>
      </c>
      <c r="Q246" s="12"/>
    </row>
    <row r="247" spans="1:17" x14ac:dyDescent="0.3">
      <c r="A247" s="10">
        <v>44535</v>
      </c>
      <c r="B247" s="11" t="s">
        <v>26</v>
      </c>
      <c r="C247" s="12">
        <v>1</v>
      </c>
      <c r="D247" s="12" t="s">
        <v>108</v>
      </c>
      <c r="E247" s="12" t="s">
        <v>106</v>
      </c>
      <c r="F247" s="13">
        <v>0</v>
      </c>
      <c r="G247" s="12" t="str">
        <f>VLOOKUP(InputData[[#This Row],[PRODUCT ID]],MasterData[],2,0)</f>
        <v>Product10</v>
      </c>
      <c r="H247" s="12" t="str">
        <f>VLOOKUP(InputData[[#This Row],[PRODUCT ID]],MasterData[],3,0)</f>
        <v>Category02</v>
      </c>
      <c r="I247" s="12" t="str">
        <f>VLOOKUP(InputData[[#This Row],[PRODUCT ID]],MasterData[],4,0)</f>
        <v>Ft</v>
      </c>
      <c r="J247" s="14">
        <f>VLOOKUP(InputData[[#This Row],[PRODUCT ID]],MasterData[],5,0)</f>
        <v>148</v>
      </c>
      <c r="K247" s="14">
        <f>VLOOKUP(InputData[[#This Row],[PRODUCT ID]],MasterData[],5,0)</f>
        <v>148</v>
      </c>
      <c r="L247" s="14">
        <f>InputData[[#This Row],[BUYING PRIZE]]*InputData[[#This Row],[QUANTITY]]</f>
        <v>148</v>
      </c>
      <c r="M247" s="14">
        <f>InputData[[#This Row],[SELLING PRICE]]*InputData[[#This Row],[QUANTITY]]*(1-InputData[[#This Row],[DISCOUNT %]])</f>
        <v>148</v>
      </c>
      <c r="N247" s="12">
        <f>DAY(InputData[[#This Row],[DATE]])</f>
        <v>5</v>
      </c>
      <c r="O247" s="12" t="str">
        <f>TEXT(InputData[[#This Row],[DATE]],"mmm")</f>
        <v>Dec</v>
      </c>
      <c r="P247" s="12">
        <f>YEAR(InputData[[#This Row],[DATE]])</f>
        <v>2021</v>
      </c>
      <c r="Q247" s="12"/>
    </row>
    <row r="248" spans="1:17" x14ac:dyDescent="0.3">
      <c r="A248" s="10">
        <v>44537</v>
      </c>
      <c r="B248" s="11" t="s">
        <v>33</v>
      </c>
      <c r="C248" s="12">
        <v>8</v>
      </c>
      <c r="D248" s="12" t="s">
        <v>108</v>
      </c>
      <c r="E248" s="12" t="s">
        <v>106</v>
      </c>
      <c r="F248" s="13">
        <v>0</v>
      </c>
      <c r="G248" s="12" t="str">
        <f>VLOOKUP(InputData[[#This Row],[PRODUCT ID]],MasterData[],2,0)</f>
        <v>Product13</v>
      </c>
      <c r="H248" s="12" t="str">
        <f>VLOOKUP(InputData[[#This Row],[PRODUCT ID]],MasterData[],3,0)</f>
        <v>Category02</v>
      </c>
      <c r="I248" s="12" t="str">
        <f>VLOOKUP(InputData[[#This Row],[PRODUCT ID]],MasterData[],4,0)</f>
        <v>Kg</v>
      </c>
      <c r="J248" s="14">
        <f>VLOOKUP(InputData[[#This Row],[PRODUCT ID]],MasterData[],5,0)</f>
        <v>112</v>
      </c>
      <c r="K248" s="14">
        <f>VLOOKUP(InputData[[#This Row],[PRODUCT ID]],MasterData[],5,0)</f>
        <v>112</v>
      </c>
      <c r="L248" s="14">
        <f>InputData[[#This Row],[BUYING PRIZE]]*InputData[[#This Row],[QUANTITY]]</f>
        <v>896</v>
      </c>
      <c r="M248" s="14">
        <f>InputData[[#This Row],[SELLING PRICE]]*InputData[[#This Row],[QUANTITY]]*(1-InputData[[#This Row],[DISCOUNT %]])</f>
        <v>896</v>
      </c>
      <c r="N248" s="12">
        <f>DAY(InputData[[#This Row],[DATE]])</f>
        <v>7</v>
      </c>
      <c r="O248" s="12" t="str">
        <f>TEXT(InputData[[#This Row],[DATE]],"mmm")</f>
        <v>Dec</v>
      </c>
      <c r="P248" s="12">
        <f>YEAR(InputData[[#This Row],[DATE]])</f>
        <v>2021</v>
      </c>
      <c r="Q248" s="12"/>
    </row>
    <row r="249" spans="1:17" x14ac:dyDescent="0.3">
      <c r="A249" s="10">
        <v>44538</v>
      </c>
      <c r="B249" s="11" t="s">
        <v>98</v>
      </c>
      <c r="C249" s="12">
        <v>14</v>
      </c>
      <c r="D249" s="12" t="s">
        <v>108</v>
      </c>
      <c r="E249" s="12" t="s">
        <v>106</v>
      </c>
      <c r="F249" s="13">
        <v>0</v>
      </c>
      <c r="G249" s="12" t="str">
        <f>VLOOKUP(InputData[[#This Row],[PRODUCT ID]],MasterData[],2,0)</f>
        <v>Product44</v>
      </c>
      <c r="H249" s="12" t="str">
        <f>VLOOKUP(InputData[[#This Row],[PRODUCT ID]],MasterData[],3,0)</f>
        <v>Category05</v>
      </c>
      <c r="I249" s="12" t="str">
        <f>VLOOKUP(InputData[[#This Row],[PRODUCT ID]],MasterData[],4,0)</f>
        <v>Kg</v>
      </c>
      <c r="J249" s="14">
        <f>VLOOKUP(InputData[[#This Row],[PRODUCT ID]],MasterData[],5,0)</f>
        <v>76</v>
      </c>
      <c r="K249" s="14">
        <f>VLOOKUP(InputData[[#This Row],[PRODUCT ID]],MasterData[],5,0)</f>
        <v>76</v>
      </c>
      <c r="L249" s="14">
        <f>InputData[[#This Row],[BUYING PRIZE]]*InputData[[#This Row],[QUANTITY]]</f>
        <v>1064</v>
      </c>
      <c r="M249" s="14">
        <f>InputData[[#This Row],[SELLING PRICE]]*InputData[[#This Row],[QUANTITY]]*(1-InputData[[#This Row],[DISCOUNT %]])</f>
        <v>1064</v>
      </c>
      <c r="N249" s="12">
        <f>DAY(InputData[[#This Row],[DATE]])</f>
        <v>8</v>
      </c>
      <c r="O249" s="12" t="str">
        <f>TEXT(InputData[[#This Row],[DATE]],"mmm")</f>
        <v>Dec</v>
      </c>
      <c r="P249" s="12">
        <f>YEAR(InputData[[#This Row],[DATE]])</f>
        <v>2021</v>
      </c>
      <c r="Q249" s="12"/>
    </row>
    <row r="250" spans="1:17" x14ac:dyDescent="0.3">
      <c r="A250" s="10">
        <v>44544</v>
      </c>
      <c r="B250" s="11" t="s">
        <v>94</v>
      </c>
      <c r="C250" s="12">
        <v>4</v>
      </c>
      <c r="D250" s="12" t="s">
        <v>108</v>
      </c>
      <c r="E250" s="12" t="s">
        <v>106</v>
      </c>
      <c r="F250" s="13">
        <v>0</v>
      </c>
      <c r="G250" s="12" t="str">
        <f>VLOOKUP(InputData[[#This Row],[PRODUCT ID]],MasterData[],2,0)</f>
        <v>Product42</v>
      </c>
      <c r="H250" s="12" t="str">
        <f>VLOOKUP(InputData[[#This Row],[PRODUCT ID]],MasterData[],3,0)</f>
        <v>Category05</v>
      </c>
      <c r="I250" s="12" t="str">
        <f>VLOOKUP(InputData[[#This Row],[PRODUCT ID]],MasterData[],4,0)</f>
        <v>Ft</v>
      </c>
      <c r="J250" s="14">
        <f>VLOOKUP(InputData[[#This Row],[PRODUCT ID]],MasterData[],5,0)</f>
        <v>120</v>
      </c>
      <c r="K250" s="14">
        <f>VLOOKUP(InputData[[#This Row],[PRODUCT ID]],MasterData[],5,0)</f>
        <v>120</v>
      </c>
      <c r="L250" s="14">
        <f>InputData[[#This Row],[BUYING PRIZE]]*InputData[[#This Row],[QUANTITY]]</f>
        <v>480</v>
      </c>
      <c r="M250" s="14">
        <f>InputData[[#This Row],[SELLING PRICE]]*InputData[[#This Row],[QUANTITY]]*(1-InputData[[#This Row],[DISCOUNT %]])</f>
        <v>480</v>
      </c>
      <c r="N250" s="12">
        <f>DAY(InputData[[#This Row],[DATE]])</f>
        <v>14</v>
      </c>
      <c r="O250" s="12" t="str">
        <f>TEXT(InputData[[#This Row],[DATE]],"mmm")</f>
        <v>Dec</v>
      </c>
      <c r="P250" s="12">
        <f>YEAR(InputData[[#This Row],[DATE]])</f>
        <v>2021</v>
      </c>
      <c r="Q250" s="12"/>
    </row>
    <row r="251" spans="1:17" x14ac:dyDescent="0.3">
      <c r="A251" s="10">
        <v>44548</v>
      </c>
      <c r="B251" s="11" t="s">
        <v>12</v>
      </c>
      <c r="C251" s="12">
        <v>2</v>
      </c>
      <c r="D251" s="12" t="s">
        <v>108</v>
      </c>
      <c r="E251" s="12" t="s">
        <v>107</v>
      </c>
      <c r="F251" s="13">
        <v>0</v>
      </c>
      <c r="G251" s="12" t="str">
        <f>VLOOKUP(InputData[[#This Row],[PRODUCT ID]],MasterData[],2,0)</f>
        <v>Product03</v>
      </c>
      <c r="H251" s="12" t="str">
        <f>VLOOKUP(InputData[[#This Row],[PRODUCT ID]],MasterData[],3,0)</f>
        <v>Category01</v>
      </c>
      <c r="I251" s="12" t="str">
        <f>VLOOKUP(InputData[[#This Row],[PRODUCT ID]],MasterData[],4,0)</f>
        <v>Kg</v>
      </c>
      <c r="J251" s="14">
        <f>VLOOKUP(InputData[[#This Row],[PRODUCT ID]],MasterData[],5,0)</f>
        <v>71</v>
      </c>
      <c r="K251" s="14">
        <f>VLOOKUP(InputData[[#This Row],[PRODUCT ID]],MasterData[],5,0)</f>
        <v>71</v>
      </c>
      <c r="L251" s="14">
        <f>InputData[[#This Row],[BUYING PRIZE]]*InputData[[#This Row],[QUANTITY]]</f>
        <v>142</v>
      </c>
      <c r="M251" s="14">
        <f>InputData[[#This Row],[SELLING PRICE]]*InputData[[#This Row],[QUANTITY]]*(1-InputData[[#This Row],[DISCOUNT %]])</f>
        <v>142</v>
      </c>
      <c r="N251" s="12">
        <f>DAY(InputData[[#This Row],[DATE]])</f>
        <v>18</v>
      </c>
      <c r="O251" s="12" t="str">
        <f>TEXT(InputData[[#This Row],[DATE]],"mmm")</f>
        <v>Dec</v>
      </c>
      <c r="P251" s="12">
        <f>YEAR(InputData[[#This Row],[DATE]])</f>
        <v>2021</v>
      </c>
      <c r="Q251" s="12"/>
    </row>
    <row r="252" spans="1:17" x14ac:dyDescent="0.3">
      <c r="A252" s="10">
        <v>44548</v>
      </c>
      <c r="B252" s="11" t="s">
        <v>52</v>
      </c>
      <c r="C252" s="12">
        <v>8</v>
      </c>
      <c r="D252" s="12" t="s">
        <v>106</v>
      </c>
      <c r="E252" s="12" t="s">
        <v>107</v>
      </c>
      <c r="F252" s="13">
        <v>0</v>
      </c>
      <c r="G252" s="12" t="str">
        <f>VLOOKUP(InputData[[#This Row],[PRODUCT ID]],MasterData[],2,0)</f>
        <v>Product22</v>
      </c>
      <c r="H252" s="12" t="str">
        <f>VLOOKUP(InputData[[#This Row],[PRODUCT ID]],MasterData[],3,0)</f>
        <v>Category03</v>
      </c>
      <c r="I252" s="12" t="str">
        <f>VLOOKUP(InputData[[#This Row],[PRODUCT ID]],MasterData[],4,0)</f>
        <v>Ft</v>
      </c>
      <c r="J252" s="14">
        <f>VLOOKUP(InputData[[#This Row],[PRODUCT ID]],MasterData[],5,0)</f>
        <v>121</v>
      </c>
      <c r="K252" s="14">
        <f>VLOOKUP(InputData[[#This Row],[PRODUCT ID]],MasterData[],5,0)</f>
        <v>121</v>
      </c>
      <c r="L252" s="14">
        <f>InputData[[#This Row],[BUYING PRIZE]]*InputData[[#This Row],[QUANTITY]]</f>
        <v>968</v>
      </c>
      <c r="M252" s="14">
        <f>InputData[[#This Row],[SELLING PRICE]]*InputData[[#This Row],[QUANTITY]]*(1-InputData[[#This Row],[DISCOUNT %]])</f>
        <v>968</v>
      </c>
      <c r="N252" s="12">
        <f>DAY(InputData[[#This Row],[DATE]])</f>
        <v>18</v>
      </c>
      <c r="O252" s="12" t="str">
        <f>TEXT(InputData[[#This Row],[DATE]],"mmm")</f>
        <v>Dec</v>
      </c>
      <c r="P252" s="12">
        <f>YEAR(InputData[[#This Row],[DATE]])</f>
        <v>2021</v>
      </c>
      <c r="Q252" s="12"/>
    </row>
    <row r="253" spans="1:17" x14ac:dyDescent="0.3">
      <c r="A253" s="10">
        <v>44549</v>
      </c>
      <c r="B253" s="11" t="s">
        <v>54</v>
      </c>
      <c r="C253" s="12">
        <v>12</v>
      </c>
      <c r="D253" s="12" t="s">
        <v>108</v>
      </c>
      <c r="E253" s="12" t="s">
        <v>106</v>
      </c>
      <c r="F253" s="13">
        <v>0</v>
      </c>
      <c r="G253" s="12" t="str">
        <f>VLOOKUP(InputData[[#This Row],[PRODUCT ID]],MasterData[],2,0)</f>
        <v>Product23</v>
      </c>
      <c r="H253" s="12" t="str">
        <f>VLOOKUP(InputData[[#This Row],[PRODUCT ID]],MasterData[],3,0)</f>
        <v>Category03</v>
      </c>
      <c r="I253" s="12" t="str">
        <f>VLOOKUP(InputData[[#This Row],[PRODUCT ID]],MasterData[],4,0)</f>
        <v>Ft</v>
      </c>
      <c r="J253" s="14">
        <f>VLOOKUP(InputData[[#This Row],[PRODUCT ID]],MasterData[],5,0)</f>
        <v>141</v>
      </c>
      <c r="K253" s="14">
        <f>VLOOKUP(InputData[[#This Row],[PRODUCT ID]],MasterData[],5,0)</f>
        <v>141</v>
      </c>
      <c r="L253" s="14">
        <f>InputData[[#This Row],[BUYING PRIZE]]*InputData[[#This Row],[QUANTITY]]</f>
        <v>1692</v>
      </c>
      <c r="M253" s="14">
        <f>InputData[[#This Row],[SELLING PRICE]]*InputData[[#This Row],[QUANTITY]]*(1-InputData[[#This Row],[DISCOUNT %]])</f>
        <v>1692</v>
      </c>
      <c r="N253" s="12">
        <f>DAY(InputData[[#This Row],[DATE]])</f>
        <v>19</v>
      </c>
      <c r="O253" s="12" t="str">
        <f>TEXT(InputData[[#This Row],[DATE]],"mmm")</f>
        <v>Dec</v>
      </c>
      <c r="P253" s="12">
        <f>YEAR(InputData[[#This Row],[DATE]])</f>
        <v>2021</v>
      </c>
      <c r="Q253" s="12"/>
    </row>
    <row r="254" spans="1:17" x14ac:dyDescent="0.3">
      <c r="A254" s="10">
        <v>44549</v>
      </c>
      <c r="B254" s="11" t="s">
        <v>67</v>
      </c>
      <c r="C254" s="12">
        <v>3</v>
      </c>
      <c r="D254" s="12" t="s">
        <v>105</v>
      </c>
      <c r="E254" s="12" t="s">
        <v>106</v>
      </c>
      <c r="F254" s="13">
        <v>0</v>
      </c>
      <c r="G254" s="12" t="str">
        <f>VLOOKUP(InputData[[#This Row],[PRODUCT ID]],MasterData[],2,0)</f>
        <v>Product29</v>
      </c>
      <c r="H254" s="12" t="str">
        <f>VLOOKUP(InputData[[#This Row],[PRODUCT ID]],MasterData[],3,0)</f>
        <v>Category04</v>
      </c>
      <c r="I254" s="12" t="str">
        <f>VLOOKUP(InputData[[#This Row],[PRODUCT ID]],MasterData[],4,0)</f>
        <v>Lt</v>
      </c>
      <c r="J254" s="14">
        <f>VLOOKUP(InputData[[#This Row],[PRODUCT ID]],MasterData[],5,0)</f>
        <v>47</v>
      </c>
      <c r="K254" s="14">
        <f>VLOOKUP(InputData[[#This Row],[PRODUCT ID]],MasterData[],5,0)</f>
        <v>47</v>
      </c>
      <c r="L254" s="14">
        <f>InputData[[#This Row],[BUYING PRIZE]]*InputData[[#This Row],[QUANTITY]]</f>
        <v>141</v>
      </c>
      <c r="M254" s="14">
        <f>InputData[[#This Row],[SELLING PRICE]]*InputData[[#This Row],[QUANTITY]]*(1-InputData[[#This Row],[DISCOUNT %]])</f>
        <v>141</v>
      </c>
      <c r="N254" s="12">
        <f>DAY(InputData[[#This Row],[DATE]])</f>
        <v>19</v>
      </c>
      <c r="O254" s="12" t="str">
        <f>TEXT(InputData[[#This Row],[DATE]],"mmm")</f>
        <v>Dec</v>
      </c>
      <c r="P254" s="12">
        <f>YEAR(InputData[[#This Row],[DATE]])</f>
        <v>2021</v>
      </c>
      <c r="Q254" s="12"/>
    </row>
    <row r="255" spans="1:17" x14ac:dyDescent="0.3">
      <c r="A255" s="10">
        <v>44549</v>
      </c>
      <c r="B255" s="11" t="s">
        <v>29</v>
      </c>
      <c r="C255" s="12">
        <v>10</v>
      </c>
      <c r="D255" s="12" t="s">
        <v>106</v>
      </c>
      <c r="E255" s="12" t="s">
        <v>106</v>
      </c>
      <c r="F255" s="13">
        <v>0</v>
      </c>
      <c r="G255" s="12" t="str">
        <f>VLOOKUP(InputData[[#This Row],[PRODUCT ID]],MasterData[],2,0)</f>
        <v>Product11</v>
      </c>
      <c r="H255" s="12" t="str">
        <f>VLOOKUP(InputData[[#This Row],[PRODUCT ID]],MasterData[],3,0)</f>
        <v>Category02</v>
      </c>
      <c r="I255" s="12" t="str">
        <f>VLOOKUP(InputData[[#This Row],[PRODUCT ID]],MasterData[],4,0)</f>
        <v>Lt</v>
      </c>
      <c r="J255" s="14">
        <f>VLOOKUP(InputData[[#This Row],[PRODUCT ID]],MasterData[],5,0)</f>
        <v>44</v>
      </c>
      <c r="K255" s="14">
        <f>VLOOKUP(InputData[[#This Row],[PRODUCT ID]],MasterData[],5,0)</f>
        <v>44</v>
      </c>
      <c r="L255" s="14">
        <f>InputData[[#This Row],[BUYING PRIZE]]*InputData[[#This Row],[QUANTITY]]</f>
        <v>440</v>
      </c>
      <c r="M255" s="14">
        <f>InputData[[#This Row],[SELLING PRICE]]*InputData[[#This Row],[QUANTITY]]*(1-InputData[[#This Row],[DISCOUNT %]])</f>
        <v>440</v>
      </c>
      <c r="N255" s="12">
        <f>DAY(InputData[[#This Row],[DATE]])</f>
        <v>19</v>
      </c>
      <c r="O255" s="12" t="str">
        <f>TEXT(InputData[[#This Row],[DATE]],"mmm")</f>
        <v>Dec</v>
      </c>
      <c r="P255" s="12">
        <f>YEAR(InputData[[#This Row],[DATE]])</f>
        <v>2021</v>
      </c>
      <c r="Q255" s="12"/>
    </row>
    <row r="256" spans="1:17" x14ac:dyDescent="0.3">
      <c r="A256" s="10">
        <v>44550</v>
      </c>
      <c r="B256" s="11" t="s">
        <v>31</v>
      </c>
      <c r="C256" s="12">
        <v>14</v>
      </c>
      <c r="D256" s="12" t="s">
        <v>108</v>
      </c>
      <c r="E256" s="12" t="s">
        <v>106</v>
      </c>
      <c r="F256" s="13">
        <v>0</v>
      </c>
      <c r="G256" s="12" t="str">
        <f>VLOOKUP(InputData[[#This Row],[PRODUCT ID]],MasterData[],2,0)</f>
        <v>Product12</v>
      </c>
      <c r="H256" s="12" t="str">
        <f>VLOOKUP(InputData[[#This Row],[PRODUCT ID]],MasterData[],3,0)</f>
        <v>Category02</v>
      </c>
      <c r="I256" s="12" t="str">
        <f>VLOOKUP(InputData[[#This Row],[PRODUCT ID]],MasterData[],4,0)</f>
        <v>Kg</v>
      </c>
      <c r="J256" s="14">
        <f>VLOOKUP(InputData[[#This Row],[PRODUCT ID]],MasterData[],5,0)</f>
        <v>73</v>
      </c>
      <c r="K256" s="14">
        <f>VLOOKUP(InputData[[#This Row],[PRODUCT ID]],MasterData[],5,0)</f>
        <v>73</v>
      </c>
      <c r="L256" s="14">
        <f>InputData[[#This Row],[BUYING PRIZE]]*InputData[[#This Row],[QUANTITY]]</f>
        <v>1022</v>
      </c>
      <c r="M256" s="14">
        <f>InputData[[#This Row],[SELLING PRICE]]*InputData[[#This Row],[QUANTITY]]*(1-InputData[[#This Row],[DISCOUNT %]])</f>
        <v>1022</v>
      </c>
      <c r="N256" s="12">
        <f>DAY(InputData[[#This Row],[DATE]])</f>
        <v>20</v>
      </c>
      <c r="O256" s="12" t="str">
        <f>TEXT(InputData[[#This Row],[DATE]],"mmm")</f>
        <v>Dec</v>
      </c>
      <c r="P256" s="12">
        <f>YEAR(InputData[[#This Row],[DATE]])</f>
        <v>2021</v>
      </c>
      <c r="Q256" s="12"/>
    </row>
    <row r="257" spans="1:17" x14ac:dyDescent="0.3">
      <c r="A257" s="10">
        <v>44551</v>
      </c>
      <c r="B257" s="11" t="s">
        <v>60</v>
      </c>
      <c r="C257" s="12">
        <v>10</v>
      </c>
      <c r="D257" s="12" t="s">
        <v>106</v>
      </c>
      <c r="E257" s="12" t="s">
        <v>107</v>
      </c>
      <c r="F257" s="13">
        <v>0</v>
      </c>
      <c r="G257" s="12" t="str">
        <f>VLOOKUP(InputData[[#This Row],[PRODUCT ID]],MasterData[],2,0)</f>
        <v>Product26</v>
      </c>
      <c r="H257" s="12" t="str">
        <f>VLOOKUP(InputData[[#This Row],[PRODUCT ID]],MasterData[],3,0)</f>
        <v>Category04</v>
      </c>
      <c r="I257" s="12" t="str">
        <f>VLOOKUP(InputData[[#This Row],[PRODUCT ID]],MasterData[],4,0)</f>
        <v>No.</v>
      </c>
      <c r="J257" s="14">
        <f>VLOOKUP(InputData[[#This Row],[PRODUCT ID]],MasterData[],5,0)</f>
        <v>18</v>
      </c>
      <c r="K257" s="14">
        <f>VLOOKUP(InputData[[#This Row],[PRODUCT ID]],MasterData[],5,0)</f>
        <v>18</v>
      </c>
      <c r="L257" s="14">
        <f>InputData[[#This Row],[BUYING PRIZE]]*InputData[[#This Row],[QUANTITY]]</f>
        <v>180</v>
      </c>
      <c r="M257" s="14">
        <f>InputData[[#This Row],[SELLING PRICE]]*InputData[[#This Row],[QUANTITY]]*(1-InputData[[#This Row],[DISCOUNT %]])</f>
        <v>180</v>
      </c>
      <c r="N257" s="12">
        <f>DAY(InputData[[#This Row],[DATE]])</f>
        <v>21</v>
      </c>
      <c r="O257" s="12" t="str">
        <f>TEXT(InputData[[#This Row],[DATE]],"mmm")</f>
        <v>Dec</v>
      </c>
      <c r="P257" s="12">
        <f>YEAR(InputData[[#This Row],[DATE]])</f>
        <v>2021</v>
      </c>
      <c r="Q257" s="12"/>
    </row>
    <row r="258" spans="1:17" x14ac:dyDescent="0.3">
      <c r="A258" s="10">
        <v>44554</v>
      </c>
      <c r="B258" s="11" t="s">
        <v>94</v>
      </c>
      <c r="C258" s="12">
        <v>8</v>
      </c>
      <c r="D258" s="12" t="s">
        <v>105</v>
      </c>
      <c r="E258" s="12" t="s">
        <v>107</v>
      </c>
      <c r="F258" s="13">
        <v>0</v>
      </c>
      <c r="G258" s="12" t="str">
        <f>VLOOKUP(InputData[[#This Row],[PRODUCT ID]],MasterData[],2,0)</f>
        <v>Product42</v>
      </c>
      <c r="H258" s="12" t="str">
        <f>VLOOKUP(InputData[[#This Row],[PRODUCT ID]],MasterData[],3,0)</f>
        <v>Category05</v>
      </c>
      <c r="I258" s="12" t="str">
        <f>VLOOKUP(InputData[[#This Row],[PRODUCT ID]],MasterData[],4,0)</f>
        <v>Ft</v>
      </c>
      <c r="J258" s="14">
        <f>VLOOKUP(InputData[[#This Row],[PRODUCT ID]],MasterData[],5,0)</f>
        <v>120</v>
      </c>
      <c r="K258" s="14">
        <f>VLOOKUP(InputData[[#This Row],[PRODUCT ID]],MasterData[],5,0)</f>
        <v>120</v>
      </c>
      <c r="L258" s="14">
        <f>InputData[[#This Row],[BUYING PRIZE]]*InputData[[#This Row],[QUANTITY]]</f>
        <v>960</v>
      </c>
      <c r="M258" s="14">
        <f>InputData[[#This Row],[SELLING PRICE]]*InputData[[#This Row],[QUANTITY]]*(1-InputData[[#This Row],[DISCOUNT %]])</f>
        <v>960</v>
      </c>
      <c r="N258" s="12">
        <f>DAY(InputData[[#This Row],[DATE]])</f>
        <v>24</v>
      </c>
      <c r="O258" s="12" t="str">
        <f>TEXT(InputData[[#This Row],[DATE]],"mmm")</f>
        <v>Dec</v>
      </c>
      <c r="P258" s="12">
        <f>YEAR(InputData[[#This Row],[DATE]])</f>
        <v>2021</v>
      </c>
      <c r="Q258" s="12"/>
    </row>
    <row r="259" spans="1:17" x14ac:dyDescent="0.3">
      <c r="A259" s="10">
        <v>44554</v>
      </c>
      <c r="B259" s="11" t="s">
        <v>81</v>
      </c>
      <c r="C259" s="12">
        <v>8</v>
      </c>
      <c r="D259" s="12" t="s">
        <v>105</v>
      </c>
      <c r="E259" s="12" t="s">
        <v>106</v>
      </c>
      <c r="F259" s="13">
        <v>0</v>
      </c>
      <c r="G259" s="12" t="str">
        <f>VLOOKUP(InputData[[#This Row],[PRODUCT ID]],MasterData[],2,0)</f>
        <v>Product36</v>
      </c>
      <c r="H259" s="12" t="str">
        <f>VLOOKUP(InputData[[#This Row],[PRODUCT ID]],MasterData[],3,0)</f>
        <v>Category04</v>
      </c>
      <c r="I259" s="12" t="str">
        <f>VLOOKUP(InputData[[#This Row],[PRODUCT ID]],MasterData[],4,0)</f>
        <v>Kg</v>
      </c>
      <c r="J259" s="14">
        <f>VLOOKUP(InputData[[#This Row],[PRODUCT ID]],MasterData[],5,0)</f>
        <v>90</v>
      </c>
      <c r="K259" s="14">
        <f>VLOOKUP(InputData[[#This Row],[PRODUCT ID]],MasterData[],5,0)</f>
        <v>90</v>
      </c>
      <c r="L259" s="14">
        <f>InputData[[#This Row],[BUYING PRIZE]]*InputData[[#This Row],[QUANTITY]]</f>
        <v>720</v>
      </c>
      <c r="M259" s="14">
        <f>InputData[[#This Row],[SELLING PRICE]]*InputData[[#This Row],[QUANTITY]]*(1-InputData[[#This Row],[DISCOUNT %]])</f>
        <v>720</v>
      </c>
      <c r="N259" s="12">
        <f>DAY(InputData[[#This Row],[DATE]])</f>
        <v>24</v>
      </c>
      <c r="O259" s="12" t="str">
        <f>TEXT(InputData[[#This Row],[DATE]],"mmm")</f>
        <v>Dec</v>
      </c>
      <c r="P259" s="12">
        <f>YEAR(InputData[[#This Row],[DATE]])</f>
        <v>2021</v>
      </c>
      <c r="Q259" s="12"/>
    </row>
    <row r="260" spans="1:17" x14ac:dyDescent="0.3">
      <c r="A260" s="10">
        <v>44556</v>
      </c>
      <c r="B260" s="11" t="s">
        <v>92</v>
      </c>
      <c r="C260" s="12">
        <v>14</v>
      </c>
      <c r="D260" s="12" t="s">
        <v>106</v>
      </c>
      <c r="E260" s="12" t="s">
        <v>107</v>
      </c>
      <c r="F260" s="13">
        <v>0</v>
      </c>
      <c r="G260" s="12" t="str">
        <f>VLOOKUP(InputData[[#This Row],[PRODUCT ID]],MasterData[],2,0)</f>
        <v>Product41</v>
      </c>
      <c r="H260" s="12" t="str">
        <f>VLOOKUP(InputData[[#This Row],[PRODUCT ID]],MasterData[],3,0)</f>
        <v>Category05</v>
      </c>
      <c r="I260" s="12" t="str">
        <f>VLOOKUP(InputData[[#This Row],[PRODUCT ID]],MasterData[],4,0)</f>
        <v>Ft</v>
      </c>
      <c r="J260" s="14">
        <f>VLOOKUP(InputData[[#This Row],[PRODUCT ID]],MasterData[],5,0)</f>
        <v>138</v>
      </c>
      <c r="K260" s="14">
        <f>VLOOKUP(InputData[[#This Row],[PRODUCT ID]],MasterData[],5,0)</f>
        <v>138</v>
      </c>
      <c r="L260" s="14">
        <f>InputData[[#This Row],[BUYING PRIZE]]*InputData[[#This Row],[QUANTITY]]</f>
        <v>1932</v>
      </c>
      <c r="M260" s="14">
        <f>InputData[[#This Row],[SELLING PRICE]]*InputData[[#This Row],[QUANTITY]]*(1-InputData[[#This Row],[DISCOUNT %]])</f>
        <v>1932</v>
      </c>
      <c r="N260" s="12">
        <f>DAY(InputData[[#This Row],[DATE]])</f>
        <v>26</v>
      </c>
      <c r="O260" s="12" t="str">
        <f>TEXT(InputData[[#This Row],[DATE]],"mmm")</f>
        <v>Dec</v>
      </c>
      <c r="P260" s="12">
        <f>YEAR(InputData[[#This Row],[DATE]])</f>
        <v>2021</v>
      </c>
      <c r="Q260" s="12"/>
    </row>
    <row r="261" spans="1:17" x14ac:dyDescent="0.3">
      <c r="A261" s="10">
        <v>44557</v>
      </c>
      <c r="B261" s="11" t="s">
        <v>67</v>
      </c>
      <c r="C261" s="12">
        <v>14</v>
      </c>
      <c r="D261" s="12" t="s">
        <v>108</v>
      </c>
      <c r="E261" s="12" t="s">
        <v>107</v>
      </c>
      <c r="F261" s="13">
        <v>0</v>
      </c>
      <c r="G261" s="12" t="str">
        <f>VLOOKUP(InputData[[#This Row],[PRODUCT ID]],MasterData[],2,0)</f>
        <v>Product29</v>
      </c>
      <c r="H261" s="12" t="str">
        <f>VLOOKUP(InputData[[#This Row],[PRODUCT ID]],MasterData[],3,0)</f>
        <v>Category04</v>
      </c>
      <c r="I261" s="12" t="str">
        <f>VLOOKUP(InputData[[#This Row],[PRODUCT ID]],MasterData[],4,0)</f>
        <v>Lt</v>
      </c>
      <c r="J261" s="14">
        <f>VLOOKUP(InputData[[#This Row],[PRODUCT ID]],MasterData[],5,0)</f>
        <v>47</v>
      </c>
      <c r="K261" s="14">
        <f>VLOOKUP(InputData[[#This Row],[PRODUCT ID]],MasterData[],5,0)</f>
        <v>47</v>
      </c>
      <c r="L261" s="14">
        <f>InputData[[#This Row],[BUYING PRIZE]]*InputData[[#This Row],[QUANTITY]]</f>
        <v>658</v>
      </c>
      <c r="M261" s="14">
        <f>InputData[[#This Row],[SELLING PRICE]]*InputData[[#This Row],[QUANTITY]]*(1-InputData[[#This Row],[DISCOUNT %]])</f>
        <v>658</v>
      </c>
      <c r="N261" s="12">
        <f>DAY(InputData[[#This Row],[DATE]])</f>
        <v>27</v>
      </c>
      <c r="O261" s="12" t="str">
        <f>TEXT(InputData[[#This Row],[DATE]],"mmm")</f>
        <v>Dec</v>
      </c>
      <c r="P261" s="12">
        <f>YEAR(InputData[[#This Row],[DATE]])</f>
        <v>2021</v>
      </c>
      <c r="Q261" s="12"/>
    </row>
    <row r="262" spans="1:17" x14ac:dyDescent="0.3">
      <c r="A262" s="10">
        <v>44558</v>
      </c>
      <c r="B262" s="11" t="s">
        <v>67</v>
      </c>
      <c r="C262" s="12">
        <v>6</v>
      </c>
      <c r="D262" s="12" t="s">
        <v>108</v>
      </c>
      <c r="E262" s="12" t="s">
        <v>107</v>
      </c>
      <c r="F262" s="13">
        <v>0</v>
      </c>
      <c r="G262" s="12" t="str">
        <f>VLOOKUP(InputData[[#This Row],[PRODUCT ID]],MasterData[],2,0)</f>
        <v>Product29</v>
      </c>
      <c r="H262" s="12" t="str">
        <f>VLOOKUP(InputData[[#This Row],[PRODUCT ID]],MasterData[],3,0)</f>
        <v>Category04</v>
      </c>
      <c r="I262" s="12" t="str">
        <f>VLOOKUP(InputData[[#This Row],[PRODUCT ID]],MasterData[],4,0)</f>
        <v>Lt</v>
      </c>
      <c r="J262" s="14">
        <f>VLOOKUP(InputData[[#This Row],[PRODUCT ID]],MasterData[],5,0)</f>
        <v>47</v>
      </c>
      <c r="K262" s="14">
        <f>VLOOKUP(InputData[[#This Row],[PRODUCT ID]],MasterData[],5,0)</f>
        <v>47</v>
      </c>
      <c r="L262" s="14">
        <f>InputData[[#This Row],[BUYING PRIZE]]*InputData[[#This Row],[QUANTITY]]</f>
        <v>282</v>
      </c>
      <c r="M262" s="14">
        <f>InputData[[#This Row],[SELLING PRICE]]*InputData[[#This Row],[QUANTITY]]*(1-InputData[[#This Row],[DISCOUNT %]])</f>
        <v>282</v>
      </c>
      <c r="N262" s="12">
        <f>DAY(InputData[[#This Row],[DATE]])</f>
        <v>28</v>
      </c>
      <c r="O262" s="12" t="str">
        <f>TEXT(InputData[[#This Row],[DATE]],"mmm")</f>
        <v>Dec</v>
      </c>
      <c r="P262" s="12">
        <f>YEAR(InputData[[#This Row],[DATE]])</f>
        <v>2021</v>
      </c>
      <c r="Q262" s="12"/>
    </row>
    <row r="263" spans="1:17" x14ac:dyDescent="0.3">
      <c r="A263" s="10">
        <v>44560</v>
      </c>
      <c r="B263" s="11" t="s">
        <v>26</v>
      </c>
      <c r="C263" s="12">
        <v>13</v>
      </c>
      <c r="D263" s="12" t="s">
        <v>106</v>
      </c>
      <c r="E263" s="12" t="s">
        <v>106</v>
      </c>
      <c r="F263" s="13">
        <v>0</v>
      </c>
      <c r="G263" s="12" t="str">
        <f>VLOOKUP(InputData[[#This Row],[PRODUCT ID]],MasterData[],2,0)</f>
        <v>Product10</v>
      </c>
      <c r="H263" s="12" t="str">
        <f>VLOOKUP(InputData[[#This Row],[PRODUCT ID]],MasterData[],3,0)</f>
        <v>Category02</v>
      </c>
      <c r="I263" s="12" t="str">
        <f>VLOOKUP(InputData[[#This Row],[PRODUCT ID]],MasterData[],4,0)</f>
        <v>Ft</v>
      </c>
      <c r="J263" s="14">
        <f>VLOOKUP(InputData[[#This Row],[PRODUCT ID]],MasterData[],5,0)</f>
        <v>148</v>
      </c>
      <c r="K263" s="14">
        <f>VLOOKUP(InputData[[#This Row],[PRODUCT ID]],MasterData[],5,0)</f>
        <v>148</v>
      </c>
      <c r="L263" s="14">
        <f>InputData[[#This Row],[BUYING PRIZE]]*InputData[[#This Row],[QUANTITY]]</f>
        <v>1924</v>
      </c>
      <c r="M263" s="14">
        <f>InputData[[#This Row],[SELLING PRICE]]*InputData[[#This Row],[QUANTITY]]*(1-InputData[[#This Row],[DISCOUNT %]])</f>
        <v>1924</v>
      </c>
      <c r="N263" s="12">
        <f>DAY(InputData[[#This Row],[DATE]])</f>
        <v>30</v>
      </c>
      <c r="O263" s="12" t="str">
        <f>TEXT(InputData[[#This Row],[DATE]],"mmm")</f>
        <v>Dec</v>
      </c>
      <c r="P263" s="12">
        <f>YEAR(InputData[[#This Row],[DATE]])</f>
        <v>2021</v>
      </c>
      <c r="Q263" s="12"/>
    </row>
    <row r="264" spans="1:17" x14ac:dyDescent="0.3">
      <c r="A264" s="10">
        <v>44562</v>
      </c>
      <c r="B264" s="11" t="s">
        <v>52</v>
      </c>
      <c r="C264" s="12">
        <v>1</v>
      </c>
      <c r="D264" s="12" t="s">
        <v>105</v>
      </c>
      <c r="E264" s="12" t="s">
        <v>107</v>
      </c>
      <c r="F264" s="13">
        <v>0</v>
      </c>
      <c r="G264" s="12" t="str">
        <f>VLOOKUP(InputData[[#This Row],[PRODUCT ID]],MasterData[],2,0)</f>
        <v>Product22</v>
      </c>
      <c r="H264" s="12" t="str">
        <f>VLOOKUP(InputData[[#This Row],[PRODUCT ID]],MasterData[],3,0)</f>
        <v>Category03</v>
      </c>
      <c r="I264" s="12" t="str">
        <f>VLOOKUP(InputData[[#This Row],[PRODUCT ID]],MasterData[],4,0)</f>
        <v>Ft</v>
      </c>
      <c r="J264" s="14">
        <f>VLOOKUP(InputData[[#This Row],[PRODUCT ID]],MasterData[],5,0)</f>
        <v>121</v>
      </c>
      <c r="K264" s="14">
        <f>VLOOKUP(InputData[[#This Row],[PRODUCT ID]],MasterData[],5,0)</f>
        <v>121</v>
      </c>
      <c r="L264" s="14">
        <f>InputData[[#This Row],[BUYING PRIZE]]*InputData[[#This Row],[QUANTITY]]</f>
        <v>121</v>
      </c>
      <c r="M264" s="14">
        <f>InputData[[#This Row],[SELLING PRICE]]*InputData[[#This Row],[QUANTITY]]*(1-InputData[[#This Row],[DISCOUNT %]])</f>
        <v>121</v>
      </c>
      <c r="N264" s="12">
        <f>DAY(InputData[[#This Row],[DATE]])</f>
        <v>1</v>
      </c>
      <c r="O264" s="12" t="str">
        <f>TEXT(InputData[[#This Row],[DATE]],"mmm")</f>
        <v>Jan</v>
      </c>
      <c r="P264" s="12">
        <f>YEAR(InputData[[#This Row],[DATE]])</f>
        <v>2022</v>
      </c>
      <c r="Q264" s="12"/>
    </row>
    <row r="265" spans="1:17" x14ac:dyDescent="0.3">
      <c r="A265" s="10">
        <v>44563</v>
      </c>
      <c r="B265" s="11" t="s">
        <v>26</v>
      </c>
      <c r="C265" s="12">
        <v>7</v>
      </c>
      <c r="D265" s="12" t="s">
        <v>108</v>
      </c>
      <c r="E265" s="12" t="s">
        <v>107</v>
      </c>
      <c r="F265" s="13">
        <v>0</v>
      </c>
      <c r="G265" s="12" t="str">
        <f>VLOOKUP(InputData[[#This Row],[PRODUCT ID]],MasterData[],2,0)</f>
        <v>Product10</v>
      </c>
      <c r="H265" s="12" t="str">
        <f>VLOOKUP(InputData[[#This Row],[PRODUCT ID]],MasterData[],3,0)</f>
        <v>Category02</v>
      </c>
      <c r="I265" s="12" t="str">
        <f>VLOOKUP(InputData[[#This Row],[PRODUCT ID]],MasterData[],4,0)</f>
        <v>Ft</v>
      </c>
      <c r="J265" s="14">
        <f>VLOOKUP(InputData[[#This Row],[PRODUCT ID]],MasterData[],5,0)</f>
        <v>148</v>
      </c>
      <c r="K265" s="14">
        <f>VLOOKUP(InputData[[#This Row],[PRODUCT ID]],MasterData[],5,0)</f>
        <v>148</v>
      </c>
      <c r="L265" s="14">
        <f>InputData[[#This Row],[BUYING PRIZE]]*InputData[[#This Row],[QUANTITY]]</f>
        <v>1036</v>
      </c>
      <c r="M265" s="14">
        <f>InputData[[#This Row],[SELLING PRICE]]*InputData[[#This Row],[QUANTITY]]*(1-InputData[[#This Row],[DISCOUNT %]])</f>
        <v>1036</v>
      </c>
      <c r="N265" s="12">
        <f>DAY(InputData[[#This Row],[DATE]])</f>
        <v>2</v>
      </c>
      <c r="O265" s="12" t="str">
        <f>TEXT(InputData[[#This Row],[DATE]],"mmm")</f>
        <v>Jan</v>
      </c>
      <c r="P265" s="12">
        <f>YEAR(InputData[[#This Row],[DATE]])</f>
        <v>2022</v>
      </c>
      <c r="Q265" s="12"/>
    </row>
    <row r="266" spans="1:17" x14ac:dyDescent="0.3">
      <c r="A266" s="10">
        <v>44563</v>
      </c>
      <c r="B266" s="11" t="s">
        <v>37</v>
      </c>
      <c r="C266" s="12">
        <v>2</v>
      </c>
      <c r="D266" s="12" t="s">
        <v>106</v>
      </c>
      <c r="E266" s="12" t="s">
        <v>107</v>
      </c>
      <c r="F266" s="13">
        <v>0</v>
      </c>
      <c r="G266" s="12" t="str">
        <f>VLOOKUP(InputData[[#This Row],[PRODUCT ID]],MasterData[],2,0)</f>
        <v>Product15</v>
      </c>
      <c r="H266" s="12" t="str">
        <f>VLOOKUP(InputData[[#This Row],[PRODUCT ID]],MasterData[],3,0)</f>
        <v>Category02</v>
      </c>
      <c r="I266" s="12" t="str">
        <f>VLOOKUP(InputData[[#This Row],[PRODUCT ID]],MasterData[],4,0)</f>
        <v>No.</v>
      </c>
      <c r="J266" s="14">
        <f>VLOOKUP(InputData[[#This Row],[PRODUCT ID]],MasterData[],5,0)</f>
        <v>12</v>
      </c>
      <c r="K266" s="14">
        <f>VLOOKUP(InputData[[#This Row],[PRODUCT ID]],MasterData[],5,0)</f>
        <v>12</v>
      </c>
      <c r="L266" s="14">
        <f>InputData[[#This Row],[BUYING PRIZE]]*InputData[[#This Row],[QUANTITY]]</f>
        <v>24</v>
      </c>
      <c r="M266" s="14">
        <f>InputData[[#This Row],[SELLING PRICE]]*InputData[[#This Row],[QUANTITY]]*(1-InputData[[#This Row],[DISCOUNT %]])</f>
        <v>24</v>
      </c>
      <c r="N266" s="12">
        <f>DAY(InputData[[#This Row],[DATE]])</f>
        <v>2</v>
      </c>
      <c r="O266" s="12" t="str">
        <f>TEXT(InputData[[#This Row],[DATE]],"mmm")</f>
        <v>Jan</v>
      </c>
      <c r="P266" s="12">
        <f>YEAR(InputData[[#This Row],[DATE]])</f>
        <v>2022</v>
      </c>
      <c r="Q266" s="12"/>
    </row>
    <row r="267" spans="1:17" x14ac:dyDescent="0.3">
      <c r="A267" s="10">
        <v>44563</v>
      </c>
      <c r="B267" s="11" t="s">
        <v>75</v>
      </c>
      <c r="C267" s="12">
        <v>1</v>
      </c>
      <c r="D267" s="12" t="s">
        <v>108</v>
      </c>
      <c r="E267" s="12" t="s">
        <v>107</v>
      </c>
      <c r="F267" s="13">
        <v>0</v>
      </c>
      <c r="G267" s="12" t="str">
        <f>VLOOKUP(InputData[[#This Row],[PRODUCT ID]],MasterData[],2,0)</f>
        <v>Product33</v>
      </c>
      <c r="H267" s="12" t="str">
        <f>VLOOKUP(InputData[[#This Row],[PRODUCT ID]],MasterData[],3,0)</f>
        <v>Category04</v>
      </c>
      <c r="I267" s="12" t="str">
        <f>VLOOKUP(InputData[[#This Row],[PRODUCT ID]],MasterData[],4,0)</f>
        <v>Kg</v>
      </c>
      <c r="J267" s="14">
        <f>VLOOKUP(InputData[[#This Row],[PRODUCT ID]],MasterData[],5,0)</f>
        <v>95</v>
      </c>
      <c r="K267" s="14">
        <f>VLOOKUP(InputData[[#This Row],[PRODUCT ID]],MasterData[],5,0)</f>
        <v>95</v>
      </c>
      <c r="L267" s="14">
        <f>InputData[[#This Row],[BUYING PRIZE]]*InputData[[#This Row],[QUANTITY]]</f>
        <v>95</v>
      </c>
      <c r="M267" s="14">
        <f>InputData[[#This Row],[SELLING PRICE]]*InputData[[#This Row],[QUANTITY]]*(1-InputData[[#This Row],[DISCOUNT %]])</f>
        <v>95</v>
      </c>
      <c r="N267" s="12">
        <f>DAY(InputData[[#This Row],[DATE]])</f>
        <v>2</v>
      </c>
      <c r="O267" s="12" t="str">
        <f>TEXT(InputData[[#This Row],[DATE]],"mmm")</f>
        <v>Jan</v>
      </c>
      <c r="P267" s="12">
        <f>YEAR(InputData[[#This Row],[DATE]])</f>
        <v>2022</v>
      </c>
      <c r="Q267" s="12"/>
    </row>
    <row r="268" spans="1:17" x14ac:dyDescent="0.3">
      <c r="A268" s="10">
        <v>44564</v>
      </c>
      <c r="B268" s="11" t="s">
        <v>96</v>
      </c>
      <c r="C268" s="12">
        <v>9</v>
      </c>
      <c r="D268" s="12" t="s">
        <v>108</v>
      </c>
      <c r="E268" s="12" t="s">
        <v>107</v>
      </c>
      <c r="F268" s="13">
        <v>0</v>
      </c>
      <c r="G268" s="12" t="str">
        <f>VLOOKUP(InputData[[#This Row],[PRODUCT ID]],MasterData[],2,0)</f>
        <v>Product43</v>
      </c>
      <c r="H268" s="12" t="str">
        <f>VLOOKUP(InputData[[#This Row],[PRODUCT ID]],MasterData[],3,0)</f>
        <v>Category05</v>
      </c>
      <c r="I268" s="12" t="str">
        <f>VLOOKUP(InputData[[#This Row],[PRODUCT ID]],MasterData[],4,0)</f>
        <v>Kg</v>
      </c>
      <c r="J268" s="14">
        <f>VLOOKUP(InputData[[#This Row],[PRODUCT ID]],MasterData[],5,0)</f>
        <v>67</v>
      </c>
      <c r="K268" s="14">
        <f>VLOOKUP(InputData[[#This Row],[PRODUCT ID]],MasterData[],5,0)</f>
        <v>67</v>
      </c>
      <c r="L268" s="14">
        <f>InputData[[#This Row],[BUYING PRIZE]]*InputData[[#This Row],[QUANTITY]]</f>
        <v>603</v>
      </c>
      <c r="M268" s="14">
        <f>InputData[[#This Row],[SELLING PRICE]]*InputData[[#This Row],[QUANTITY]]*(1-InputData[[#This Row],[DISCOUNT %]])</f>
        <v>603</v>
      </c>
      <c r="N268" s="12">
        <f>DAY(InputData[[#This Row],[DATE]])</f>
        <v>3</v>
      </c>
      <c r="O268" s="12" t="str">
        <f>TEXT(InputData[[#This Row],[DATE]],"mmm")</f>
        <v>Jan</v>
      </c>
      <c r="P268" s="12">
        <f>YEAR(InputData[[#This Row],[DATE]])</f>
        <v>2022</v>
      </c>
      <c r="Q268" s="12"/>
    </row>
    <row r="269" spans="1:17" x14ac:dyDescent="0.3">
      <c r="A269" s="10">
        <v>44565</v>
      </c>
      <c r="B269" s="11" t="s">
        <v>31</v>
      </c>
      <c r="C269" s="12">
        <v>8</v>
      </c>
      <c r="D269" s="12" t="s">
        <v>108</v>
      </c>
      <c r="E269" s="12" t="s">
        <v>106</v>
      </c>
      <c r="F269" s="13">
        <v>0</v>
      </c>
      <c r="G269" s="12" t="str">
        <f>VLOOKUP(InputData[[#This Row],[PRODUCT ID]],MasterData[],2,0)</f>
        <v>Product12</v>
      </c>
      <c r="H269" s="12" t="str">
        <f>VLOOKUP(InputData[[#This Row],[PRODUCT ID]],MasterData[],3,0)</f>
        <v>Category02</v>
      </c>
      <c r="I269" s="12" t="str">
        <f>VLOOKUP(InputData[[#This Row],[PRODUCT ID]],MasterData[],4,0)</f>
        <v>Kg</v>
      </c>
      <c r="J269" s="14">
        <f>VLOOKUP(InputData[[#This Row],[PRODUCT ID]],MasterData[],5,0)</f>
        <v>73</v>
      </c>
      <c r="K269" s="14">
        <f>VLOOKUP(InputData[[#This Row],[PRODUCT ID]],MasterData[],5,0)</f>
        <v>73</v>
      </c>
      <c r="L269" s="14">
        <f>InputData[[#This Row],[BUYING PRIZE]]*InputData[[#This Row],[QUANTITY]]</f>
        <v>584</v>
      </c>
      <c r="M269" s="14">
        <f>InputData[[#This Row],[SELLING PRICE]]*InputData[[#This Row],[QUANTITY]]*(1-InputData[[#This Row],[DISCOUNT %]])</f>
        <v>584</v>
      </c>
      <c r="N269" s="12">
        <f>DAY(InputData[[#This Row],[DATE]])</f>
        <v>4</v>
      </c>
      <c r="O269" s="12" t="str">
        <f>TEXT(InputData[[#This Row],[DATE]],"mmm")</f>
        <v>Jan</v>
      </c>
      <c r="P269" s="12">
        <f>YEAR(InputData[[#This Row],[DATE]])</f>
        <v>2022</v>
      </c>
      <c r="Q269" s="12"/>
    </row>
    <row r="270" spans="1:17" x14ac:dyDescent="0.3">
      <c r="A270" s="10">
        <v>44565</v>
      </c>
      <c r="B270" s="11" t="s">
        <v>67</v>
      </c>
      <c r="C270" s="12">
        <v>1</v>
      </c>
      <c r="D270" s="12" t="s">
        <v>106</v>
      </c>
      <c r="E270" s="12" t="s">
        <v>106</v>
      </c>
      <c r="F270" s="13">
        <v>0</v>
      </c>
      <c r="G270" s="12" t="str">
        <f>VLOOKUP(InputData[[#This Row],[PRODUCT ID]],MasterData[],2,0)</f>
        <v>Product29</v>
      </c>
      <c r="H270" s="12" t="str">
        <f>VLOOKUP(InputData[[#This Row],[PRODUCT ID]],MasterData[],3,0)</f>
        <v>Category04</v>
      </c>
      <c r="I270" s="12" t="str">
        <f>VLOOKUP(InputData[[#This Row],[PRODUCT ID]],MasterData[],4,0)</f>
        <v>Lt</v>
      </c>
      <c r="J270" s="14">
        <f>VLOOKUP(InputData[[#This Row],[PRODUCT ID]],MasterData[],5,0)</f>
        <v>47</v>
      </c>
      <c r="K270" s="14">
        <f>VLOOKUP(InputData[[#This Row],[PRODUCT ID]],MasterData[],5,0)</f>
        <v>47</v>
      </c>
      <c r="L270" s="14">
        <f>InputData[[#This Row],[BUYING PRIZE]]*InputData[[#This Row],[QUANTITY]]</f>
        <v>47</v>
      </c>
      <c r="M270" s="14">
        <f>InputData[[#This Row],[SELLING PRICE]]*InputData[[#This Row],[QUANTITY]]*(1-InputData[[#This Row],[DISCOUNT %]])</f>
        <v>47</v>
      </c>
      <c r="N270" s="12">
        <f>DAY(InputData[[#This Row],[DATE]])</f>
        <v>4</v>
      </c>
      <c r="O270" s="12" t="str">
        <f>TEXT(InputData[[#This Row],[DATE]],"mmm")</f>
        <v>Jan</v>
      </c>
      <c r="P270" s="12">
        <f>YEAR(InputData[[#This Row],[DATE]])</f>
        <v>2022</v>
      </c>
      <c r="Q270" s="12"/>
    </row>
    <row r="271" spans="1:17" x14ac:dyDescent="0.3">
      <c r="A271" s="10">
        <v>44570</v>
      </c>
      <c r="B271" s="11" t="s">
        <v>73</v>
      </c>
      <c r="C271" s="12">
        <v>12</v>
      </c>
      <c r="D271" s="12" t="s">
        <v>108</v>
      </c>
      <c r="E271" s="12" t="s">
        <v>106</v>
      </c>
      <c r="F271" s="13">
        <v>0</v>
      </c>
      <c r="G271" s="12" t="str">
        <f>VLOOKUP(InputData[[#This Row],[PRODUCT ID]],MasterData[],2,0)</f>
        <v>Product32</v>
      </c>
      <c r="H271" s="12" t="str">
        <f>VLOOKUP(InputData[[#This Row],[PRODUCT ID]],MasterData[],3,0)</f>
        <v>Category04</v>
      </c>
      <c r="I271" s="12" t="str">
        <f>VLOOKUP(InputData[[#This Row],[PRODUCT ID]],MasterData[],4,0)</f>
        <v>Kg</v>
      </c>
      <c r="J271" s="14">
        <f>VLOOKUP(InputData[[#This Row],[PRODUCT ID]],MasterData[],5,0)</f>
        <v>89</v>
      </c>
      <c r="K271" s="14">
        <f>VLOOKUP(InputData[[#This Row],[PRODUCT ID]],MasterData[],5,0)</f>
        <v>89</v>
      </c>
      <c r="L271" s="14">
        <f>InputData[[#This Row],[BUYING PRIZE]]*InputData[[#This Row],[QUANTITY]]</f>
        <v>1068</v>
      </c>
      <c r="M271" s="14">
        <f>InputData[[#This Row],[SELLING PRICE]]*InputData[[#This Row],[QUANTITY]]*(1-InputData[[#This Row],[DISCOUNT %]])</f>
        <v>1068</v>
      </c>
      <c r="N271" s="12">
        <f>DAY(InputData[[#This Row],[DATE]])</f>
        <v>9</v>
      </c>
      <c r="O271" s="12" t="str">
        <f>TEXT(InputData[[#This Row],[DATE]],"mmm")</f>
        <v>Jan</v>
      </c>
      <c r="P271" s="12">
        <f>YEAR(InputData[[#This Row],[DATE]])</f>
        <v>2022</v>
      </c>
      <c r="Q271" s="12"/>
    </row>
    <row r="272" spans="1:17" x14ac:dyDescent="0.3">
      <c r="A272" s="10">
        <v>44571</v>
      </c>
      <c r="B272" s="11" t="s">
        <v>77</v>
      </c>
      <c r="C272" s="12">
        <v>14</v>
      </c>
      <c r="D272" s="12" t="s">
        <v>106</v>
      </c>
      <c r="E272" s="12" t="s">
        <v>106</v>
      </c>
      <c r="F272" s="13">
        <v>0</v>
      </c>
      <c r="G272" s="12" t="str">
        <f>VLOOKUP(InputData[[#This Row],[PRODUCT ID]],MasterData[],2,0)</f>
        <v>Product34</v>
      </c>
      <c r="H272" s="12" t="str">
        <f>VLOOKUP(InputData[[#This Row],[PRODUCT ID]],MasterData[],3,0)</f>
        <v>Category04</v>
      </c>
      <c r="I272" s="12" t="str">
        <f>VLOOKUP(InputData[[#This Row],[PRODUCT ID]],MasterData[],4,0)</f>
        <v>Lt</v>
      </c>
      <c r="J272" s="14">
        <f>VLOOKUP(InputData[[#This Row],[PRODUCT ID]],MasterData[],5,0)</f>
        <v>55</v>
      </c>
      <c r="K272" s="14">
        <f>VLOOKUP(InputData[[#This Row],[PRODUCT ID]],MasterData[],5,0)</f>
        <v>55</v>
      </c>
      <c r="L272" s="14">
        <f>InputData[[#This Row],[BUYING PRIZE]]*InputData[[#This Row],[QUANTITY]]</f>
        <v>770</v>
      </c>
      <c r="M272" s="14">
        <f>InputData[[#This Row],[SELLING PRICE]]*InputData[[#This Row],[QUANTITY]]*(1-InputData[[#This Row],[DISCOUNT %]])</f>
        <v>770</v>
      </c>
      <c r="N272" s="12">
        <f>DAY(InputData[[#This Row],[DATE]])</f>
        <v>10</v>
      </c>
      <c r="O272" s="12" t="str">
        <f>TEXT(InputData[[#This Row],[DATE]],"mmm")</f>
        <v>Jan</v>
      </c>
      <c r="P272" s="12">
        <f>YEAR(InputData[[#This Row],[DATE]])</f>
        <v>2022</v>
      </c>
      <c r="Q272" s="12"/>
    </row>
    <row r="273" spans="1:17" x14ac:dyDescent="0.3">
      <c r="A273" s="10">
        <v>44572</v>
      </c>
      <c r="B273" s="11" t="s">
        <v>73</v>
      </c>
      <c r="C273" s="12">
        <v>2</v>
      </c>
      <c r="D273" s="12" t="s">
        <v>108</v>
      </c>
      <c r="E273" s="12" t="s">
        <v>106</v>
      </c>
      <c r="F273" s="13">
        <v>0</v>
      </c>
      <c r="G273" s="12" t="str">
        <f>VLOOKUP(InputData[[#This Row],[PRODUCT ID]],MasterData[],2,0)</f>
        <v>Product32</v>
      </c>
      <c r="H273" s="12" t="str">
        <f>VLOOKUP(InputData[[#This Row],[PRODUCT ID]],MasterData[],3,0)</f>
        <v>Category04</v>
      </c>
      <c r="I273" s="12" t="str">
        <f>VLOOKUP(InputData[[#This Row],[PRODUCT ID]],MasterData[],4,0)</f>
        <v>Kg</v>
      </c>
      <c r="J273" s="14">
        <f>VLOOKUP(InputData[[#This Row],[PRODUCT ID]],MasterData[],5,0)</f>
        <v>89</v>
      </c>
      <c r="K273" s="14">
        <f>VLOOKUP(InputData[[#This Row],[PRODUCT ID]],MasterData[],5,0)</f>
        <v>89</v>
      </c>
      <c r="L273" s="14">
        <f>InputData[[#This Row],[BUYING PRIZE]]*InputData[[#This Row],[QUANTITY]]</f>
        <v>178</v>
      </c>
      <c r="M273" s="14">
        <f>InputData[[#This Row],[SELLING PRICE]]*InputData[[#This Row],[QUANTITY]]*(1-InputData[[#This Row],[DISCOUNT %]])</f>
        <v>178</v>
      </c>
      <c r="N273" s="12">
        <f>DAY(InputData[[#This Row],[DATE]])</f>
        <v>11</v>
      </c>
      <c r="O273" s="12" t="str">
        <f>TEXT(InputData[[#This Row],[DATE]],"mmm")</f>
        <v>Jan</v>
      </c>
      <c r="P273" s="12">
        <f>YEAR(InputData[[#This Row],[DATE]])</f>
        <v>2022</v>
      </c>
      <c r="Q273" s="12"/>
    </row>
    <row r="274" spans="1:17" x14ac:dyDescent="0.3">
      <c r="A274" s="10">
        <v>44574</v>
      </c>
      <c r="B274" s="11" t="s">
        <v>45</v>
      </c>
      <c r="C274" s="12">
        <v>6</v>
      </c>
      <c r="D274" s="12" t="s">
        <v>106</v>
      </c>
      <c r="E274" s="12" t="s">
        <v>106</v>
      </c>
      <c r="F274" s="13">
        <v>0</v>
      </c>
      <c r="G274" s="12" t="str">
        <f>VLOOKUP(InputData[[#This Row],[PRODUCT ID]],MasterData[],2,0)</f>
        <v>Product19</v>
      </c>
      <c r="H274" s="12" t="str">
        <f>VLOOKUP(InputData[[#This Row],[PRODUCT ID]],MasterData[],3,0)</f>
        <v>Category02</v>
      </c>
      <c r="I274" s="12" t="str">
        <f>VLOOKUP(InputData[[#This Row],[PRODUCT ID]],MasterData[],4,0)</f>
        <v>Ft</v>
      </c>
      <c r="J274" s="14">
        <f>VLOOKUP(InputData[[#This Row],[PRODUCT ID]],MasterData[],5,0)</f>
        <v>150</v>
      </c>
      <c r="K274" s="14">
        <f>VLOOKUP(InputData[[#This Row],[PRODUCT ID]],MasterData[],5,0)</f>
        <v>150</v>
      </c>
      <c r="L274" s="14">
        <f>InputData[[#This Row],[BUYING PRIZE]]*InputData[[#This Row],[QUANTITY]]</f>
        <v>900</v>
      </c>
      <c r="M274" s="14">
        <f>InputData[[#This Row],[SELLING PRICE]]*InputData[[#This Row],[QUANTITY]]*(1-InputData[[#This Row],[DISCOUNT %]])</f>
        <v>900</v>
      </c>
      <c r="N274" s="12">
        <f>DAY(InputData[[#This Row],[DATE]])</f>
        <v>13</v>
      </c>
      <c r="O274" s="12" t="str">
        <f>TEXT(InputData[[#This Row],[DATE]],"mmm")</f>
        <v>Jan</v>
      </c>
      <c r="P274" s="12">
        <f>YEAR(InputData[[#This Row],[DATE]])</f>
        <v>2022</v>
      </c>
      <c r="Q274" s="12"/>
    </row>
    <row r="275" spans="1:17" x14ac:dyDescent="0.3">
      <c r="A275" s="10">
        <v>44575</v>
      </c>
      <c r="B275" s="11" t="s">
        <v>29</v>
      </c>
      <c r="C275" s="12">
        <v>14</v>
      </c>
      <c r="D275" s="12" t="s">
        <v>108</v>
      </c>
      <c r="E275" s="12" t="s">
        <v>106</v>
      </c>
      <c r="F275" s="13">
        <v>0</v>
      </c>
      <c r="G275" s="12" t="str">
        <f>VLOOKUP(InputData[[#This Row],[PRODUCT ID]],MasterData[],2,0)</f>
        <v>Product11</v>
      </c>
      <c r="H275" s="12" t="str">
        <f>VLOOKUP(InputData[[#This Row],[PRODUCT ID]],MasterData[],3,0)</f>
        <v>Category02</v>
      </c>
      <c r="I275" s="12" t="str">
        <f>VLOOKUP(InputData[[#This Row],[PRODUCT ID]],MasterData[],4,0)</f>
        <v>Lt</v>
      </c>
      <c r="J275" s="14">
        <f>VLOOKUP(InputData[[#This Row],[PRODUCT ID]],MasterData[],5,0)</f>
        <v>44</v>
      </c>
      <c r="K275" s="14">
        <f>VLOOKUP(InputData[[#This Row],[PRODUCT ID]],MasterData[],5,0)</f>
        <v>44</v>
      </c>
      <c r="L275" s="14">
        <f>InputData[[#This Row],[BUYING PRIZE]]*InputData[[#This Row],[QUANTITY]]</f>
        <v>616</v>
      </c>
      <c r="M275" s="14">
        <f>InputData[[#This Row],[SELLING PRICE]]*InputData[[#This Row],[QUANTITY]]*(1-InputData[[#This Row],[DISCOUNT %]])</f>
        <v>616</v>
      </c>
      <c r="N275" s="12">
        <f>DAY(InputData[[#This Row],[DATE]])</f>
        <v>14</v>
      </c>
      <c r="O275" s="12" t="str">
        <f>TEXT(InputData[[#This Row],[DATE]],"mmm")</f>
        <v>Jan</v>
      </c>
      <c r="P275" s="12">
        <f>YEAR(InputData[[#This Row],[DATE]])</f>
        <v>2022</v>
      </c>
      <c r="Q275" s="12"/>
    </row>
    <row r="276" spans="1:17" x14ac:dyDescent="0.3">
      <c r="A276" s="10">
        <v>44576</v>
      </c>
      <c r="B276" s="11" t="s">
        <v>52</v>
      </c>
      <c r="C276" s="12">
        <v>10</v>
      </c>
      <c r="D276" s="12" t="s">
        <v>108</v>
      </c>
      <c r="E276" s="12" t="s">
        <v>107</v>
      </c>
      <c r="F276" s="13">
        <v>0</v>
      </c>
      <c r="G276" s="12" t="str">
        <f>VLOOKUP(InputData[[#This Row],[PRODUCT ID]],MasterData[],2,0)</f>
        <v>Product22</v>
      </c>
      <c r="H276" s="12" t="str">
        <f>VLOOKUP(InputData[[#This Row],[PRODUCT ID]],MasterData[],3,0)</f>
        <v>Category03</v>
      </c>
      <c r="I276" s="12" t="str">
        <f>VLOOKUP(InputData[[#This Row],[PRODUCT ID]],MasterData[],4,0)</f>
        <v>Ft</v>
      </c>
      <c r="J276" s="14">
        <f>VLOOKUP(InputData[[#This Row],[PRODUCT ID]],MasterData[],5,0)</f>
        <v>121</v>
      </c>
      <c r="K276" s="14">
        <f>VLOOKUP(InputData[[#This Row],[PRODUCT ID]],MasterData[],5,0)</f>
        <v>121</v>
      </c>
      <c r="L276" s="14">
        <f>InputData[[#This Row],[BUYING PRIZE]]*InputData[[#This Row],[QUANTITY]]</f>
        <v>1210</v>
      </c>
      <c r="M276" s="14">
        <f>InputData[[#This Row],[SELLING PRICE]]*InputData[[#This Row],[QUANTITY]]*(1-InputData[[#This Row],[DISCOUNT %]])</f>
        <v>1210</v>
      </c>
      <c r="N276" s="12">
        <f>DAY(InputData[[#This Row],[DATE]])</f>
        <v>15</v>
      </c>
      <c r="O276" s="12" t="str">
        <f>TEXT(InputData[[#This Row],[DATE]],"mmm")</f>
        <v>Jan</v>
      </c>
      <c r="P276" s="12">
        <f>YEAR(InputData[[#This Row],[DATE]])</f>
        <v>2022</v>
      </c>
      <c r="Q276" s="12"/>
    </row>
    <row r="277" spans="1:17" x14ac:dyDescent="0.3">
      <c r="A277" s="10">
        <v>44577</v>
      </c>
      <c r="B277" s="11" t="s">
        <v>35</v>
      </c>
      <c r="C277" s="12">
        <v>11</v>
      </c>
      <c r="D277" s="12" t="s">
        <v>106</v>
      </c>
      <c r="E277" s="12" t="s">
        <v>107</v>
      </c>
      <c r="F277" s="13">
        <v>0</v>
      </c>
      <c r="G277" s="12" t="str">
        <f>VLOOKUP(InputData[[#This Row],[PRODUCT ID]],MasterData[],2,0)</f>
        <v>Product14</v>
      </c>
      <c r="H277" s="12" t="str">
        <f>VLOOKUP(InputData[[#This Row],[PRODUCT ID]],MasterData[],3,0)</f>
        <v>Category02</v>
      </c>
      <c r="I277" s="12" t="str">
        <f>VLOOKUP(InputData[[#This Row],[PRODUCT ID]],MasterData[],4,0)</f>
        <v>Kg</v>
      </c>
      <c r="J277" s="14">
        <f>VLOOKUP(InputData[[#This Row],[PRODUCT ID]],MasterData[],5,0)</f>
        <v>112</v>
      </c>
      <c r="K277" s="14">
        <f>VLOOKUP(InputData[[#This Row],[PRODUCT ID]],MasterData[],5,0)</f>
        <v>112</v>
      </c>
      <c r="L277" s="14">
        <f>InputData[[#This Row],[BUYING PRIZE]]*InputData[[#This Row],[QUANTITY]]</f>
        <v>1232</v>
      </c>
      <c r="M277" s="14">
        <f>InputData[[#This Row],[SELLING PRICE]]*InputData[[#This Row],[QUANTITY]]*(1-InputData[[#This Row],[DISCOUNT %]])</f>
        <v>1232</v>
      </c>
      <c r="N277" s="12">
        <f>DAY(InputData[[#This Row],[DATE]])</f>
        <v>16</v>
      </c>
      <c r="O277" s="12" t="str">
        <f>TEXT(InputData[[#This Row],[DATE]],"mmm")</f>
        <v>Jan</v>
      </c>
      <c r="P277" s="12">
        <f>YEAR(InputData[[#This Row],[DATE]])</f>
        <v>2022</v>
      </c>
      <c r="Q277" s="12"/>
    </row>
    <row r="278" spans="1:17" x14ac:dyDescent="0.3">
      <c r="A278" s="10">
        <v>44578</v>
      </c>
      <c r="B278" s="11" t="s">
        <v>90</v>
      </c>
      <c r="C278" s="12">
        <v>4</v>
      </c>
      <c r="D278" s="12" t="s">
        <v>106</v>
      </c>
      <c r="E278" s="12" t="s">
        <v>106</v>
      </c>
      <c r="F278" s="13">
        <v>0</v>
      </c>
      <c r="G278" s="12" t="str">
        <f>VLOOKUP(InputData[[#This Row],[PRODUCT ID]],MasterData[],2,0)</f>
        <v>Product40</v>
      </c>
      <c r="H278" s="12" t="str">
        <f>VLOOKUP(InputData[[#This Row],[PRODUCT ID]],MasterData[],3,0)</f>
        <v>Category05</v>
      </c>
      <c r="I278" s="12" t="str">
        <f>VLOOKUP(InputData[[#This Row],[PRODUCT ID]],MasterData[],4,0)</f>
        <v>Kg</v>
      </c>
      <c r="J278" s="14">
        <f>VLOOKUP(InputData[[#This Row],[PRODUCT ID]],MasterData[],5,0)</f>
        <v>90</v>
      </c>
      <c r="K278" s="14">
        <f>VLOOKUP(InputData[[#This Row],[PRODUCT ID]],MasterData[],5,0)</f>
        <v>90</v>
      </c>
      <c r="L278" s="14">
        <f>InputData[[#This Row],[BUYING PRIZE]]*InputData[[#This Row],[QUANTITY]]</f>
        <v>360</v>
      </c>
      <c r="M278" s="14">
        <f>InputData[[#This Row],[SELLING PRICE]]*InputData[[#This Row],[QUANTITY]]*(1-InputData[[#This Row],[DISCOUNT %]])</f>
        <v>360</v>
      </c>
      <c r="N278" s="12">
        <f>DAY(InputData[[#This Row],[DATE]])</f>
        <v>17</v>
      </c>
      <c r="O278" s="12" t="str">
        <f>TEXT(InputData[[#This Row],[DATE]],"mmm")</f>
        <v>Jan</v>
      </c>
      <c r="P278" s="12">
        <f>YEAR(InputData[[#This Row],[DATE]])</f>
        <v>2022</v>
      </c>
      <c r="Q278" s="12"/>
    </row>
    <row r="279" spans="1:17" x14ac:dyDescent="0.3">
      <c r="A279" s="10">
        <v>44579</v>
      </c>
      <c r="B279" s="11" t="s">
        <v>22</v>
      </c>
      <c r="C279" s="12">
        <v>9</v>
      </c>
      <c r="D279" s="12" t="s">
        <v>105</v>
      </c>
      <c r="E279" s="12" t="s">
        <v>107</v>
      </c>
      <c r="F279" s="13">
        <v>0</v>
      </c>
      <c r="G279" s="12" t="str">
        <f>VLOOKUP(InputData[[#This Row],[PRODUCT ID]],MasterData[],2,0)</f>
        <v>Product08</v>
      </c>
      <c r="H279" s="12" t="str">
        <f>VLOOKUP(InputData[[#This Row],[PRODUCT ID]],MasterData[],3,0)</f>
        <v>Category01</v>
      </c>
      <c r="I279" s="12" t="str">
        <f>VLOOKUP(InputData[[#This Row],[PRODUCT ID]],MasterData[],4,0)</f>
        <v>Kg</v>
      </c>
      <c r="J279" s="14">
        <f>VLOOKUP(InputData[[#This Row],[PRODUCT ID]],MasterData[],5,0)</f>
        <v>83</v>
      </c>
      <c r="K279" s="14">
        <f>VLOOKUP(InputData[[#This Row],[PRODUCT ID]],MasterData[],5,0)</f>
        <v>83</v>
      </c>
      <c r="L279" s="14">
        <f>InputData[[#This Row],[BUYING PRIZE]]*InputData[[#This Row],[QUANTITY]]</f>
        <v>747</v>
      </c>
      <c r="M279" s="14">
        <f>InputData[[#This Row],[SELLING PRICE]]*InputData[[#This Row],[QUANTITY]]*(1-InputData[[#This Row],[DISCOUNT %]])</f>
        <v>747</v>
      </c>
      <c r="N279" s="12">
        <f>DAY(InputData[[#This Row],[DATE]])</f>
        <v>18</v>
      </c>
      <c r="O279" s="12" t="str">
        <f>TEXT(InputData[[#This Row],[DATE]],"mmm")</f>
        <v>Jan</v>
      </c>
      <c r="P279" s="12">
        <f>YEAR(InputData[[#This Row],[DATE]])</f>
        <v>2022</v>
      </c>
      <c r="Q279" s="12"/>
    </row>
    <row r="280" spans="1:17" x14ac:dyDescent="0.3">
      <c r="A280" s="10">
        <v>44581</v>
      </c>
      <c r="B280" s="11" t="s">
        <v>50</v>
      </c>
      <c r="C280" s="12">
        <v>2</v>
      </c>
      <c r="D280" s="12" t="s">
        <v>108</v>
      </c>
      <c r="E280" s="12" t="s">
        <v>107</v>
      </c>
      <c r="F280" s="13">
        <v>0</v>
      </c>
      <c r="G280" s="12" t="str">
        <f>VLOOKUP(InputData[[#This Row],[PRODUCT ID]],MasterData[],2,0)</f>
        <v>Product21</v>
      </c>
      <c r="H280" s="12" t="str">
        <f>VLOOKUP(InputData[[#This Row],[PRODUCT ID]],MasterData[],3,0)</f>
        <v>Category03</v>
      </c>
      <c r="I280" s="12" t="str">
        <f>VLOOKUP(InputData[[#This Row],[PRODUCT ID]],MasterData[],4,0)</f>
        <v>Ft</v>
      </c>
      <c r="J280" s="14">
        <f>VLOOKUP(InputData[[#This Row],[PRODUCT ID]],MasterData[],5,0)</f>
        <v>126</v>
      </c>
      <c r="K280" s="14">
        <f>VLOOKUP(InputData[[#This Row],[PRODUCT ID]],MasterData[],5,0)</f>
        <v>126</v>
      </c>
      <c r="L280" s="14">
        <f>InputData[[#This Row],[BUYING PRIZE]]*InputData[[#This Row],[QUANTITY]]</f>
        <v>252</v>
      </c>
      <c r="M280" s="14">
        <f>InputData[[#This Row],[SELLING PRICE]]*InputData[[#This Row],[QUANTITY]]*(1-InputData[[#This Row],[DISCOUNT %]])</f>
        <v>252</v>
      </c>
      <c r="N280" s="12">
        <f>DAY(InputData[[#This Row],[DATE]])</f>
        <v>20</v>
      </c>
      <c r="O280" s="12" t="str">
        <f>TEXT(InputData[[#This Row],[DATE]],"mmm")</f>
        <v>Jan</v>
      </c>
      <c r="P280" s="12">
        <f>YEAR(InputData[[#This Row],[DATE]])</f>
        <v>2022</v>
      </c>
      <c r="Q280" s="12"/>
    </row>
    <row r="281" spans="1:17" x14ac:dyDescent="0.3">
      <c r="A281" s="10">
        <v>44581</v>
      </c>
      <c r="B281" s="11" t="s">
        <v>35</v>
      </c>
      <c r="C281" s="12">
        <v>7</v>
      </c>
      <c r="D281" s="12" t="s">
        <v>106</v>
      </c>
      <c r="E281" s="12" t="s">
        <v>106</v>
      </c>
      <c r="F281" s="13">
        <v>0</v>
      </c>
      <c r="G281" s="12" t="str">
        <f>VLOOKUP(InputData[[#This Row],[PRODUCT ID]],MasterData[],2,0)</f>
        <v>Product14</v>
      </c>
      <c r="H281" s="12" t="str">
        <f>VLOOKUP(InputData[[#This Row],[PRODUCT ID]],MasterData[],3,0)</f>
        <v>Category02</v>
      </c>
      <c r="I281" s="12" t="str">
        <f>VLOOKUP(InputData[[#This Row],[PRODUCT ID]],MasterData[],4,0)</f>
        <v>Kg</v>
      </c>
      <c r="J281" s="14">
        <f>VLOOKUP(InputData[[#This Row],[PRODUCT ID]],MasterData[],5,0)</f>
        <v>112</v>
      </c>
      <c r="K281" s="14">
        <f>VLOOKUP(InputData[[#This Row],[PRODUCT ID]],MasterData[],5,0)</f>
        <v>112</v>
      </c>
      <c r="L281" s="14">
        <f>InputData[[#This Row],[BUYING PRIZE]]*InputData[[#This Row],[QUANTITY]]</f>
        <v>784</v>
      </c>
      <c r="M281" s="14">
        <f>InputData[[#This Row],[SELLING PRICE]]*InputData[[#This Row],[QUANTITY]]*(1-InputData[[#This Row],[DISCOUNT %]])</f>
        <v>784</v>
      </c>
      <c r="N281" s="12">
        <f>DAY(InputData[[#This Row],[DATE]])</f>
        <v>20</v>
      </c>
      <c r="O281" s="12" t="str">
        <f>TEXT(InputData[[#This Row],[DATE]],"mmm")</f>
        <v>Jan</v>
      </c>
      <c r="P281" s="12">
        <f>YEAR(InputData[[#This Row],[DATE]])</f>
        <v>2022</v>
      </c>
      <c r="Q281" s="12"/>
    </row>
    <row r="282" spans="1:17" x14ac:dyDescent="0.3">
      <c r="A282" s="10">
        <v>44583</v>
      </c>
      <c r="B282" s="11" t="s">
        <v>6</v>
      </c>
      <c r="C282" s="12">
        <v>6</v>
      </c>
      <c r="D282" s="12" t="s">
        <v>106</v>
      </c>
      <c r="E282" s="12" t="s">
        <v>107</v>
      </c>
      <c r="F282" s="13">
        <v>0</v>
      </c>
      <c r="G282" s="12" t="str">
        <f>VLOOKUP(InputData[[#This Row],[PRODUCT ID]],MasterData[],2,0)</f>
        <v>Product01</v>
      </c>
      <c r="H282" s="12" t="str">
        <f>VLOOKUP(InputData[[#This Row],[PRODUCT ID]],MasterData[],3,0)</f>
        <v>Category01</v>
      </c>
      <c r="I282" s="12" t="str">
        <f>VLOOKUP(InputData[[#This Row],[PRODUCT ID]],MasterData[],4,0)</f>
        <v>Kg</v>
      </c>
      <c r="J282" s="14">
        <f>VLOOKUP(InputData[[#This Row],[PRODUCT ID]],MasterData[],5,0)</f>
        <v>98</v>
      </c>
      <c r="K282" s="14">
        <f>VLOOKUP(InputData[[#This Row],[PRODUCT ID]],MasterData[],5,0)</f>
        <v>98</v>
      </c>
      <c r="L282" s="14">
        <f>InputData[[#This Row],[BUYING PRIZE]]*InputData[[#This Row],[QUANTITY]]</f>
        <v>588</v>
      </c>
      <c r="M282" s="14">
        <f>InputData[[#This Row],[SELLING PRICE]]*InputData[[#This Row],[QUANTITY]]*(1-InputData[[#This Row],[DISCOUNT %]])</f>
        <v>588</v>
      </c>
      <c r="N282" s="12">
        <f>DAY(InputData[[#This Row],[DATE]])</f>
        <v>22</v>
      </c>
      <c r="O282" s="12" t="str">
        <f>TEXT(InputData[[#This Row],[DATE]],"mmm")</f>
        <v>Jan</v>
      </c>
      <c r="P282" s="12">
        <f>YEAR(InputData[[#This Row],[DATE]])</f>
        <v>2022</v>
      </c>
      <c r="Q282" s="12"/>
    </row>
    <row r="283" spans="1:17" x14ac:dyDescent="0.3">
      <c r="A283" s="10">
        <v>44584</v>
      </c>
      <c r="B283" s="11" t="s">
        <v>10</v>
      </c>
      <c r="C283" s="12">
        <v>5</v>
      </c>
      <c r="D283" s="12" t="s">
        <v>105</v>
      </c>
      <c r="E283" s="12" t="s">
        <v>107</v>
      </c>
      <c r="F283" s="13">
        <v>0</v>
      </c>
      <c r="G283" s="12" t="str">
        <f>VLOOKUP(InputData[[#This Row],[PRODUCT ID]],MasterData[],2,0)</f>
        <v>Product02</v>
      </c>
      <c r="H283" s="12" t="str">
        <f>VLOOKUP(InputData[[#This Row],[PRODUCT ID]],MasterData[],3,0)</f>
        <v>Category01</v>
      </c>
      <c r="I283" s="12" t="str">
        <f>VLOOKUP(InputData[[#This Row],[PRODUCT ID]],MasterData[],4,0)</f>
        <v>Kg</v>
      </c>
      <c r="J283" s="14">
        <f>VLOOKUP(InputData[[#This Row],[PRODUCT ID]],MasterData[],5,0)</f>
        <v>105</v>
      </c>
      <c r="K283" s="14">
        <f>VLOOKUP(InputData[[#This Row],[PRODUCT ID]],MasterData[],5,0)</f>
        <v>105</v>
      </c>
      <c r="L283" s="14">
        <f>InputData[[#This Row],[BUYING PRIZE]]*InputData[[#This Row],[QUANTITY]]</f>
        <v>525</v>
      </c>
      <c r="M283" s="14">
        <f>InputData[[#This Row],[SELLING PRICE]]*InputData[[#This Row],[QUANTITY]]*(1-InputData[[#This Row],[DISCOUNT %]])</f>
        <v>525</v>
      </c>
      <c r="N283" s="12">
        <f>DAY(InputData[[#This Row],[DATE]])</f>
        <v>23</v>
      </c>
      <c r="O283" s="12" t="str">
        <f>TEXT(InputData[[#This Row],[DATE]],"mmm")</f>
        <v>Jan</v>
      </c>
      <c r="P283" s="12">
        <f>YEAR(InputData[[#This Row],[DATE]])</f>
        <v>2022</v>
      </c>
      <c r="Q283" s="12"/>
    </row>
    <row r="284" spans="1:17" x14ac:dyDescent="0.3">
      <c r="A284" s="10">
        <v>44584</v>
      </c>
      <c r="B284" s="11" t="s">
        <v>94</v>
      </c>
      <c r="C284" s="12">
        <v>8</v>
      </c>
      <c r="D284" s="12" t="s">
        <v>108</v>
      </c>
      <c r="E284" s="12" t="s">
        <v>106</v>
      </c>
      <c r="F284" s="13">
        <v>0</v>
      </c>
      <c r="G284" s="12" t="str">
        <f>VLOOKUP(InputData[[#This Row],[PRODUCT ID]],MasterData[],2,0)</f>
        <v>Product42</v>
      </c>
      <c r="H284" s="12" t="str">
        <f>VLOOKUP(InputData[[#This Row],[PRODUCT ID]],MasterData[],3,0)</f>
        <v>Category05</v>
      </c>
      <c r="I284" s="12" t="str">
        <f>VLOOKUP(InputData[[#This Row],[PRODUCT ID]],MasterData[],4,0)</f>
        <v>Ft</v>
      </c>
      <c r="J284" s="14">
        <f>VLOOKUP(InputData[[#This Row],[PRODUCT ID]],MasterData[],5,0)</f>
        <v>120</v>
      </c>
      <c r="K284" s="14">
        <f>VLOOKUP(InputData[[#This Row],[PRODUCT ID]],MasterData[],5,0)</f>
        <v>120</v>
      </c>
      <c r="L284" s="14">
        <f>InputData[[#This Row],[BUYING PRIZE]]*InputData[[#This Row],[QUANTITY]]</f>
        <v>960</v>
      </c>
      <c r="M284" s="14">
        <f>InputData[[#This Row],[SELLING PRICE]]*InputData[[#This Row],[QUANTITY]]*(1-InputData[[#This Row],[DISCOUNT %]])</f>
        <v>960</v>
      </c>
      <c r="N284" s="12">
        <f>DAY(InputData[[#This Row],[DATE]])</f>
        <v>23</v>
      </c>
      <c r="O284" s="12" t="str">
        <f>TEXT(InputData[[#This Row],[DATE]],"mmm")</f>
        <v>Jan</v>
      </c>
      <c r="P284" s="12">
        <f>YEAR(InputData[[#This Row],[DATE]])</f>
        <v>2022</v>
      </c>
      <c r="Q284" s="12"/>
    </row>
    <row r="285" spans="1:17" x14ac:dyDescent="0.3">
      <c r="A285" s="10">
        <v>44585</v>
      </c>
      <c r="B285" s="11" t="s">
        <v>69</v>
      </c>
      <c r="C285" s="12">
        <v>15</v>
      </c>
      <c r="D285" s="12" t="s">
        <v>106</v>
      </c>
      <c r="E285" s="12" t="s">
        <v>106</v>
      </c>
      <c r="F285" s="13">
        <v>0</v>
      </c>
      <c r="G285" s="12" t="str">
        <f>VLOOKUP(InputData[[#This Row],[PRODUCT ID]],MasterData[],2,0)</f>
        <v>Product30</v>
      </c>
      <c r="H285" s="12" t="str">
        <f>VLOOKUP(InputData[[#This Row],[PRODUCT ID]],MasterData[],3,0)</f>
        <v>Category04</v>
      </c>
      <c r="I285" s="12" t="str">
        <f>VLOOKUP(InputData[[#This Row],[PRODUCT ID]],MasterData[],4,0)</f>
        <v>Ft</v>
      </c>
      <c r="J285" s="14">
        <f>VLOOKUP(InputData[[#This Row],[PRODUCT ID]],MasterData[],5,0)</f>
        <v>148</v>
      </c>
      <c r="K285" s="14">
        <f>VLOOKUP(InputData[[#This Row],[PRODUCT ID]],MasterData[],5,0)</f>
        <v>148</v>
      </c>
      <c r="L285" s="14">
        <f>InputData[[#This Row],[BUYING PRIZE]]*InputData[[#This Row],[QUANTITY]]</f>
        <v>2220</v>
      </c>
      <c r="M285" s="14">
        <f>InputData[[#This Row],[SELLING PRICE]]*InputData[[#This Row],[QUANTITY]]*(1-InputData[[#This Row],[DISCOUNT %]])</f>
        <v>2220</v>
      </c>
      <c r="N285" s="12">
        <f>DAY(InputData[[#This Row],[DATE]])</f>
        <v>24</v>
      </c>
      <c r="O285" s="12" t="str">
        <f>TEXT(InputData[[#This Row],[DATE]],"mmm")</f>
        <v>Jan</v>
      </c>
      <c r="P285" s="12">
        <f>YEAR(InputData[[#This Row],[DATE]])</f>
        <v>2022</v>
      </c>
      <c r="Q285" s="12"/>
    </row>
    <row r="286" spans="1:17" x14ac:dyDescent="0.3">
      <c r="A286" s="10">
        <v>44586</v>
      </c>
      <c r="B286" s="11" t="s">
        <v>41</v>
      </c>
      <c r="C286" s="12">
        <v>14</v>
      </c>
      <c r="D286" s="12" t="s">
        <v>108</v>
      </c>
      <c r="E286" s="12" t="s">
        <v>107</v>
      </c>
      <c r="F286" s="13">
        <v>0</v>
      </c>
      <c r="G286" s="12" t="str">
        <f>VLOOKUP(InputData[[#This Row],[PRODUCT ID]],MasterData[],2,0)</f>
        <v>Product17</v>
      </c>
      <c r="H286" s="12" t="str">
        <f>VLOOKUP(InputData[[#This Row],[PRODUCT ID]],MasterData[],3,0)</f>
        <v>Category02</v>
      </c>
      <c r="I286" s="12" t="str">
        <f>VLOOKUP(InputData[[#This Row],[PRODUCT ID]],MasterData[],4,0)</f>
        <v>Ft</v>
      </c>
      <c r="J286" s="14">
        <f>VLOOKUP(InputData[[#This Row],[PRODUCT ID]],MasterData[],5,0)</f>
        <v>134</v>
      </c>
      <c r="K286" s="14">
        <f>VLOOKUP(InputData[[#This Row],[PRODUCT ID]],MasterData[],5,0)</f>
        <v>134</v>
      </c>
      <c r="L286" s="14">
        <f>InputData[[#This Row],[BUYING PRIZE]]*InputData[[#This Row],[QUANTITY]]</f>
        <v>1876</v>
      </c>
      <c r="M286" s="14">
        <f>InputData[[#This Row],[SELLING PRICE]]*InputData[[#This Row],[QUANTITY]]*(1-InputData[[#This Row],[DISCOUNT %]])</f>
        <v>1876</v>
      </c>
      <c r="N286" s="12">
        <f>DAY(InputData[[#This Row],[DATE]])</f>
        <v>25</v>
      </c>
      <c r="O286" s="12" t="str">
        <f>TEXT(InputData[[#This Row],[DATE]],"mmm")</f>
        <v>Jan</v>
      </c>
      <c r="P286" s="12">
        <f>YEAR(InputData[[#This Row],[DATE]])</f>
        <v>2022</v>
      </c>
      <c r="Q286" s="12"/>
    </row>
    <row r="287" spans="1:17" x14ac:dyDescent="0.3">
      <c r="A287" s="10">
        <v>44589</v>
      </c>
      <c r="B287" s="11" t="s">
        <v>39</v>
      </c>
      <c r="C287" s="12">
        <v>11</v>
      </c>
      <c r="D287" s="12" t="s">
        <v>108</v>
      </c>
      <c r="E287" s="12" t="s">
        <v>106</v>
      </c>
      <c r="F287" s="13">
        <v>0</v>
      </c>
      <c r="G287" s="12" t="str">
        <f>VLOOKUP(InputData[[#This Row],[PRODUCT ID]],MasterData[],2,0)</f>
        <v>Product16</v>
      </c>
      <c r="H287" s="12" t="str">
        <f>VLOOKUP(InputData[[#This Row],[PRODUCT ID]],MasterData[],3,0)</f>
        <v>Category02</v>
      </c>
      <c r="I287" s="12" t="str">
        <f>VLOOKUP(InputData[[#This Row],[PRODUCT ID]],MasterData[],4,0)</f>
        <v>No.</v>
      </c>
      <c r="J287" s="14">
        <f>VLOOKUP(InputData[[#This Row],[PRODUCT ID]],MasterData[],5,0)</f>
        <v>13</v>
      </c>
      <c r="K287" s="14">
        <f>VLOOKUP(InputData[[#This Row],[PRODUCT ID]],MasterData[],5,0)</f>
        <v>13</v>
      </c>
      <c r="L287" s="14">
        <f>InputData[[#This Row],[BUYING PRIZE]]*InputData[[#This Row],[QUANTITY]]</f>
        <v>143</v>
      </c>
      <c r="M287" s="14">
        <f>InputData[[#This Row],[SELLING PRICE]]*InputData[[#This Row],[QUANTITY]]*(1-InputData[[#This Row],[DISCOUNT %]])</f>
        <v>143</v>
      </c>
      <c r="N287" s="12">
        <f>DAY(InputData[[#This Row],[DATE]])</f>
        <v>28</v>
      </c>
      <c r="O287" s="12" t="str">
        <f>TEXT(InputData[[#This Row],[DATE]],"mmm")</f>
        <v>Jan</v>
      </c>
      <c r="P287" s="12">
        <f>YEAR(InputData[[#This Row],[DATE]])</f>
        <v>2022</v>
      </c>
      <c r="Q287" s="12"/>
    </row>
    <row r="288" spans="1:17" x14ac:dyDescent="0.3">
      <c r="A288" s="10">
        <v>44592</v>
      </c>
      <c r="B288" s="11" t="s">
        <v>54</v>
      </c>
      <c r="C288" s="12">
        <v>6</v>
      </c>
      <c r="D288" s="12" t="s">
        <v>106</v>
      </c>
      <c r="E288" s="12" t="s">
        <v>107</v>
      </c>
      <c r="F288" s="13">
        <v>0</v>
      </c>
      <c r="G288" s="12" t="str">
        <f>VLOOKUP(InputData[[#This Row],[PRODUCT ID]],MasterData[],2,0)</f>
        <v>Product23</v>
      </c>
      <c r="H288" s="12" t="str">
        <f>VLOOKUP(InputData[[#This Row],[PRODUCT ID]],MasterData[],3,0)</f>
        <v>Category03</v>
      </c>
      <c r="I288" s="12" t="str">
        <f>VLOOKUP(InputData[[#This Row],[PRODUCT ID]],MasterData[],4,0)</f>
        <v>Ft</v>
      </c>
      <c r="J288" s="14">
        <f>VLOOKUP(InputData[[#This Row],[PRODUCT ID]],MasterData[],5,0)</f>
        <v>141</v>
      </c>
      <c r="K288" s="14">
        <f>VLOOKUP(InputData[[#This Row],[PRODUCT ID]],MasterData[],5,0)</f>
        <v>141</v>
      </c>
      <c r="L288" s="14">
        <f>InputData[[#This Row],[BUYING PRIZE]]*InputData[[#This Row],[QUANTITY]]</f>
        <v>846</v>
      </c>
      <c r="M288" s="14">
        <f>InputData[[#This Row],[SELLING PRICE]]*InputData[[#This Row],[QUANTITY]]*(1-InputData[[#This Row],[DISCOUNT %]])</f>
        <v>846</v>
      </c>
      <c r="N288" s="12">
        <f>DAY(InputData[[#This Row],[DATE]])</f>
        <v>31</v>
      </c>
      <c r="O288" s="12" t="str">
        <f>TEXT(InputData[[#This Row],[DATE]],"mmm")</f>
        <v>Jan</v>
      </c>
      <c r="P288" s="12">
        <f>YEAR(InputData[[#This Row],[DATE]])</f>
        <v>2022</v>
      </c>
      <c r="Q288" s="12"/>
    </row>
    <row r="289" spans="1:17" x14ac:dyDescent="0.3">
      <c r="A289" s="10">
        <v>44592</v>
      </c>
      <c r="B289" s="11" t="s">
        <v>92</v>
      </c>
      <c r="C289" s="12">
        <v>9</v>
      </c>
      <c r="D289" s="12" t="s">
        <v>108</v>
      </c>
      <c r="E289" s="12" t="s">
        <v>107</v>
      </c>
      <c r="F289" s="13">
        <v>0</v>
      </c>
      <c r="G289" s="12" t="str">
        <f>VLOOKUP(InputData[[#This Row],[PRODUCT ID]],MasterData[],2,0)</f>
        <v>Product41</v>
      </c>
      <c r="H289" s="12" t="str">
        <f>VLOOKUP(InputData[[#This Row],[PRODUCT ID]],MasterData[],3,0)</f>
        <v>Category05</v>
      </c>
      <c r="I289" s="12" t="str">
        <f>VLOOKUP(InputData[[#This Row],[PRODUCT ID]],MasterData[],4,0)</f>
        <v>Ft</v>
      </c>
      <c r="J289" s="14">
        <f>VLOOKUP(InputData[[#This Row],[PRODUCT ID]],MasterData[],5,0)</f>
        <v>138</v>
      </c>
      <c r="K289" s="14">
        <f>VLOOKUP(InputData[[#This Row],[PRODUCT ID]],MasterData[],5,0)</f>
        <v>138</v>
      </c>
      <c r="L289" s="14">
        <f>InputData[[#This Row],[BUYING PRIZE]]*InputData[[#This Row],[QUANTITY]]</f>
        <v>1242</v>
      </c>
      <c r="M289" s="14">
        <f>InputData[[#This Row],[SELLING PRICE]]*InputData[[#This Row],[QUANTITY]]*(1-InputData[[#This Row],[DISCOUNT %]])</f>
        <v>1242</v>
      </c>
      <c r="N289" s="12">
        <f>DAY(InputData[[#This Row],[DATE]])</f>
        <v>31</v>
      </c>
      <c r="O289" s="12" t="str">
        <f>TEXT(InputData[[#This Row],[DATE]],"mmm")</f>
        <v>Jan</v>
      </c>
      <c r="P289" s="12">
        <f>YEAR(InputData[[#This Row],[DATE]])</f>
        <v>2022</v>
      </c>
      <c r="Q289" s="12"/>
    </row>
    <row r="290" spans="1:17" x14ac:dyDescent="0.3">
      <c r="A290" s="10">
        <v>44593</v>
      </c>
      <c r="B290" s="11" t="s">
        <v>16</v>
      </c>
      <c r="C290" s="12">
        <v>9</v>
      </c>
      <c r="D290" s="12" t="s">
        <v>108</v>
      </c>
      <c r="E290" s="12" t="s">
        <v>107</v>
      </c>
      <c r="F290" s="13">
        <v>0</v>
      </c>
      <c r="G290" s="12" t="str">
        <f>VLOOKUP(InputData[[#This Row],[PRODUCT ID]],MasterData[],2,0)</f>
        <v>Product05</v>
      </c>
      <c r="H290" s="12" t="str">
        <f>VLOOKUP(InputData[[#This Row],[PRODUCT ID]],MasterData[],3,0)</f>
        <v>Category01</v>
      </c>
      <c r="I290" s="12" t="str">
        <f>VLOOKUP(InputData[[#This Row],[PRODUCT ID]],MasterData[],4,0)</f>
        <v>Ft</v>
      </c>
      <c r="J290" s="14">
        <f>VLOOKUP(InputData[[#This Row],[PRODUCT ID]],MasterData[],5,0)</f>
        <v>133</v>
      </c>
      <c r="K290" s="14">
        <f>VLOOKUP(InputData[[#This Row],[PRODUCT ID]],MasterData[],5,0)</f>
        <v>133</v>
      </c>
      <c r="L290" s="14">
        <f>InputData[[#This Row],[BUYING PRIZE]]*InputData[[#This Row],[QUANTITY]]</f>
        <v>1197</v>
      </c>
      <c r="M290" s="14">
        <f>InputData[[#This Row],[SELLING PRICE]]*InputData[[#This Row],[QUANTITY]]*(1-InputData[[#This Row],[DISCOUNT %]])</f>
        <v>1197</v>
      </c>
      <c r="N290" s="12">
        <f>DAY(InputData[[#This Row],[DATE]])</f>
        <v>1</v>
      </c>
      <c r="O290" s="12" t="str">
        <f>TEXT(InputData[[#This Row],[DATE]],"mmm")</f>
        <v>Feb</v>
      </c>
      <c r="P290" s="12">
        <f>YEAR(InputData[[#This Row],[DATE]])</f>
        <v>2022</v>
      </c>
      <c r="Q290" s="12"/>
    </row>
    <row r="291" spans="1:17" x14ac:dyDescent="0.3">
      <c r="A291" s="10">
        <v>44595</v>
      </c>
      <c r="B291" s="11" t="s">
        <v>35</v>
      </c>
      <c r="C291" s="12">
        <v>8</v>
      </c>
      <c r="D291" s="12" t="s">
        <v>108</v>
      </c>
      <c r="E291" s="12" t="s">
        <v>106</v>
      </c>
      <c r="F291" s="13">
        <v>0</v>
      </c>
      <c r="G291" s="12" t="str">
        <f>VLOOKUP(InputData[[#This Row],[PRODUCT ID]],MasterData[],2,0)</f>
        <v>Product14</v>
      </c>
      <c r="H291" s="12" t="str">
        <f>VLOOKUP(InputData[[#This Row],[PRODUCT ID]],MasterData[],3,0)</f>
        <v>Category02</v>
      </c>
      <c r="I291" s="12" t="str">
        <f>VLOOKUP(InputData[[#This Row],[PRODUCT ID]],MasterData[],4,0)</f>
        <v>Kg</v>
      </c>
      <c r="J291" s="14">
        <f>VLOOKUP(InputData[[#This Row],[PRODUCT ID]],MasterData[],5,0)</f>
        <v>112</v>
      </c>
      <c r="K291" s="14">
        <f>VLOOKUP(InputData[[#This Row],[PRODUCT ID]],MasterData[],5,0)</f>
        <v>112</v>
      </c>
      <c r="L291" s="14">
        <f>InputData[[#This Row],[BUYING PRIZE]]*InputData[[#This Row],[QUANTITY]]</f>
        <v>896</v>
      </c>
      <c r="M291" s="14">
        <f>InputData[[#This Row],[SELLING PRICE]]*InputData[[#This Row],[QUANTITY]]*(1-InputData[[#This Row],[DISCOUNT %]])</f>
        <v>896</v>
      </c>
      <c r="N291" s="12">
        <f>DAY(InputData[[#This Row],[DATE]])</f>
        <v>3</v>
      </c>
      <c r="O291" s="12" t="str">
        <f>TEXT(InputData[[#This Row],[DATE]],"mmm")</f>
        <v>Feb</v>
      </c>
      <c r="P291" s="12">
        <f>YEAR(InputData[[#This Row],[DATE]])</f>
        <v>2022</v>
      </c>
      <c r="Q291" s="12"/>
    </row>
    <row r="292" spans="1:17" x14ac:dyDescent="0.3">
      <c r="A292" s="10">
        <v>44597</v>
      </c>
      <c r="B292" s="11" t="s">
        <v>43</v>
      </c>
      <c r="C292" s="12">
        <v>6</v>
      </c>
      <c r="D292" s="12" t="s">
        <v>108</v>
      </c>
      <c r="E292" s="12" t="s">
        <v>107</v>
      </c>
      <c r="F292" s="13">
        <v>0</v>
      </c>
      <c r="G292" s="12" t="str">
        <f>VLOOKUP(InputData[[#This Row],[PRODUCT ID]],MasterData[],2,0)</f>
        <v>Product18</v>
      </c>
      <c r="H292" s="12" t="str">
        <f>VLOOKUP(InputData[[#This Row],[PRODUCT ID]],MasterData[],3,0)</f>
        <v>Category02</v>
      </c>
      <c r="I292" s="12" t="str">
        <f>VLOOKUP(InputData[[#This Row],[PRODUCT ID]],MasterData[],4,0)</f>
        <v>No.</v>
      </c>
      <c r="J292" s="14">
        <f>VLOOKUP(InputData[[#This Row],[PRODUCT ID]],MasterData[],5,0)</f>
        <v>37</v>
      </c>
      <c r="K292" s="14">
        <f>VLOOKUP(InputData[[#This Row],[PRODUCT ID]],MasterData[],5,0)</f>
        <v>37</v>
      </c>
      <c r="L292" s="14">
        <f>InputData[[#This Row],[BUYING PRIZE]]*InputData[[#This Row],[QUANTITY]]</f>
        <v>222</v>
      </c>
      <c r="M292" s="14">
        <f>InputData[[#This Row],[SELLING PRICE]]*InputData[[#This Row],[QUANTITY]]*(1-InputData[[#This Row],[DISCOUNT %]])</f>
        <v>222</v>
      </c>
      <c r="N292" s="12">
        <f>DAY(InputData[[#This Row],[DATE]])</f>
        <v>5</v>
      </c>
      <c r="O292" s="12" t="str">
        <f>TEXT(InputData[[#This Row],[DATE]],"mmm")</f>
        <v>Feb</v>
      </c>
      <c r="P292" s="12">
        <f>YEAR(InputData[[#This Row],[DATE]])</f>
        <v>2022</v>
      </c>
      <c r="Q292" s="12"/>
    </row>
    <row r="293" spans="1:17" x14ac:dyDescent="0.3">
      <c r="A293" s="10">
        <v>44598</v>
      </c>
      <c r="B293" s="11" t="s">
        <v>10</v>
      </c>
      <c r="C293" s="12">
        <v>6</v>
      </c>
      <c r="D293" s="12" t="s">
        <v>108</v>
      </c>
      <c r="E293" s="12" t="s">
        <v>107</v>
      </c>
      <c r="F293" s="13">
        <v>0</v>
      </c>
      <c r="G293" s="12" t="str">
        <f>VLOOKUP(InputData[[#This Row],[PRODUCT ID]],MasterData[],2,0)</f>
        <v>Product02</v>
      </c>
      <c r="H293" s="12" t="str">
        <f>VLOOKUP(InputData[[#This Row],[PRODUCT ID]],MasterData[],3,0)</f>
        <v>Category01</v>
      </c>
      <c r="I293" s="12" t="str">
        <f>VLOOKUP(InputData[[#This Row],[PRODUCT ID]],MasterData[],4,0)</f>
        <v>Kg</v>
      </c>
      <c r="J293" s="14">
        <f>VLOOKUP(InputData[[#This Row],[PRODUCT ID]],MasterData[],5,0)</f>
        <v>105</v>
      </c>
      <c r="K293" s="14">
        <f>VLOOKUP(InputData[[#This Row],[PRODUCT ID]],MasterData[],5,0)</f>
        <v>105</v>
      </c>
      <c r="L293" s="14">
        <f>InputData[[#This Row],[BUYING PRIZE]]*InputData[[#This Row],[QUANTITY]]</f>
        <v>630</v>
      </c>
      <c r="M293" s="14">
        <f>InputData[[#This Row],[SELLING PRICE]]*InputData[[#This Row],[QUANTITY]]*(1-InputData[[#This Row],[DISCOUNT %]])</f>
        <v>630</v>
      </c>
      <c r="N293" s="12">
        <f>DAY(InputData[[#This Row],[DATE]])</f>
        <v>6</v>
      </c>
      <c r="O293" s="12" t="str">
        <f>TEXT(InputData[[#This Row],[DATE]],"mmm")</f>
        <v>Feb</v>
      </c>
      <c r="P293" s="12">
        <f>YEAR(InputData[[#This Row],[DATE]])</f>
        <v>2022</v>
      </c>
      <c r="Q293" s="12"/>
    </row>
    <row r="294" spans="1:17" x14ac:dyDescent="0.3">
      <c r="A294" s="10">
        <v>44600</v>
      </c>
      <c r="B294" s="11" t="s">
        <v>16</v>
      </c>
      <c r="C294" s="12">
        <v>11</v>
      </c>
      <c r="D294" s="12" t="s">
        <v>106</v>
      </c>
      <c r="E294" s="12" t="s">
        <v>107</v>
      </c>
      <c r="F294" s="13">
        <v>0</v>
      </c>
      <c r="G294" s="12" t="str">
        <f>VLOOKUP(InputData[[#This Row],[PRODUCT ID]],MasterData[],2,0)</f>
        <v>Product05</v>
      </c>
      <c r="H294" s="12" t="str">
        <f>VLOOKUP(InputData[[#This Row],[PRODUCT ID]],MasterData[],3,0)</f>
        <v>Category01</v>
      </c>
      <c r="I294" s="12" t="str">
        <f>VLOOKUP(InputData[[#This Row],[PRODUCT ID]],MasterData[],4,0)</f>
        <v>Ft</v>
      </c>
      <c r="J294" s="14">
        <f>VLOOKUP(InputData[[#This Row],[PRODUCT ID]],MasterData[],5,0)</f>
        <v>133</v>
      </c>
      <c r="K294" s="14">
        <f>VLOOKUP(InputData[[#This Row],[PRODUCT ID]],MasterData[],5,0)</f>
        <v>133</v>
      </c>
      <c r="L294" s="14">
        <f>InputData[[#This Row],[BUYING PRIZE]]*InputData[[#This Row],[QUANTITY]]</f>
        <v>1463</v>
      </c>
      <c r="M294" s="14">
        <f>InputData[[#This Row],[SELLING PRICE]]*InputData[[#This Row],[QUANTITY]]*(1-InputData[[#This Row],[DISCOUNT %]])</f>
        <v>1463</v>
      </c>
      <c r="N294" s="12">
        <f>DAY(InputData[[#This Row],[DATE]])</f>
        <v>8</v>
      </c>
      <c r="O294" s="12" t="str">
        <f>TEXT(InputData[[#This Row],[DATE]],"mmm")</f>
        <v>Feb</v>
      </c>
      <c r="P294" s="12">
        <f>YEAR(InputData[[#This Row],[DATE]])</f>
        <v>2022</v>
      </c>
      <c r="Q294" s="12"/>
    </row>
    <row r="295" spans="1:17" x14ac:dyDescent="0.3">
      <c r="A295" s="10">
        <v>44600</v>
      </c>
      <c r="B295" s="11" t="s">
        <v>14</v>
      </c>
      <c r="C295" s="12">
        <v>3</v>
      </c>
      <c r="D295" s="12" t="s">
        <v>106</v>
      </c>
      <c r="E295" s="12" t="s">
        <v>107</v>
      </c>
      <c r="F295" s="13">
        <v>0</v>
      </c>
      <c r="G295" s="12" t="str">
        <f>VLOOKUP(InputData[[#This Row],[PRODUCT ID]],MasterData[],2,0)</f>
        <v>Product04</v>
      </c>
      <c r="H295" s="12" t="str">
        <f>VLOOKUP(InputData[[#This Row],[PRODUCT ID]],MasterData[],3,0)</f>
        <v>Category01</v>
      </c>
      <c r="I295" s="12" t="str">
        <f>VLOOKUP(InputData[[#This Row],[PRODUCT ID]],MasterData[],4,0)</f>
        <v>Lt</v>
      </c>
      <c r="J295" s="14">
        <f>VLOOKUP(InputData[[#This Row],[PRODUCT ID]],MasterData[],5,0)</f>
        <v>44</v>
      </c>
      <c r="K295" s="14">
        <f>VLOOKUP(InputData[[#This Row],[PRODUCT ID]],MasterData[],5,0)</f>
        <v>44</v>
      </c>
      <c r="L295" s="14">
        <f>InputData[[#This Row],[BUYING PRIZE]]*InputData[[#This Row],[QUANTITY]]</f>
        <v>132</v>
      </c>
      <c r="M295" s="14">
        <f>InputData[[#This Row],[SELLING PRICE]]*InputData[[#This Row],[QUANTITY]]*(1-InputData[[#This Row],[DISCOUNT %]])</f>
        <v>132</v>
      </c>
      <c r="N295" s="12">
        <f>DAY(InputData[[#This Row],[DATE]])</f>
        <v>8</v>
      </c>
      <c r="O295" s="12" t="str">
        <f>TEXT(InputData[[#This Row],[DATE]],"mmm")</f>
        <v>Feb</v>
      </c>
      <c r="P295" s="12">
        <f>YEAR(InputData[[#This Row],[DATE]])</f>
        <v>2022</v>
      </c>
      <c r="Q295" s="12"/>
    </row>
    <row r="296" spans="1:17" x14ac:dyDescent="0.3">
      <c r="A296" s="10">
        <v>44601</v>
      </c>
      <c r="B296" s="11" t="s">
        <v>73</v>
      </c>
      <c r="C296" s="12">
        <v>14</v>
      </c>
      <c r="D296" s="12" t="s">
        <v>106</v>
      </c>
      <c r="E296" s="12" t="s">
        <v>106</v>
      </c>
      <c r="F296" s="13">
        <v>0</v>
      </c>
      <c r="G296" s="12" t="str">
        <f>VLOOKUP(InputData[[#This Row],[PRODUCT ID]],MasterData[],2,0)</f>
        <v>Product32</v>
      </c>
      <c r="H296" s="12" t="str">
        <f>VLOOKUP(InputData[[#This Row],[PRODUCT ID]],MasterData[],3,0)</f>
        <v>Category04</v>
      </c>
      <c r="I296" s="12" t="str">
        <f>VLOOKUP(InputData[[#This Row],[PRODUCT ID]],MasterData[],4,0)</f>
        <v>Kg</v>
      </c>
      <c r="J296" s="14">
        <f>VLOOKUP(InputData[[#This Row],[PRODUCT ID]],MasterData[],5,0)</f>
        <v>89</v>
      </c>
      <c r="K296" s="14">
        <f>VLOOKUP(InputData[[#This Row],[PRODUCT ID]],MasterData[],5,0)</f>
        <v>89</v>
      </c>
      <c r="L296" s="14">
        <f>InputData[[#This Row],[BUYING PRIZE]]*InputData[[#This Row],[QUANTITY]]</f>
        <v>1246</v>
      </c>
      <c r="M296" s="14">
        <f>InputData[[#This Row],[SELLING PRICE]]*InputData[[#This Row],[QUANTITY]]*(1-InputData[[#This Row],[DISCOUNT %]])</f>
        <v>1246</v>
      </c>
      <c r="N296" s="12">
        <f>DAY(InputData[[#This Row],[DATE]])</f>
        <v>9</v>
      </c>
      <c r="O296" s="12" t="str">
        <f>TEXT(InputData[[#This Row],[DATE]],"mmm")</f>
        <v>Feb</v>
      </c>
      <c r="P296" s="12">
        <f>YEAR(InputData[[#This Row],[DATE]])</f>
        <v>2022</v>
      </c>
      <c r="Q296" s="12"/>
    </row>
    <row r="297" spans="1:17" x14ac:dyDescent="0.3">
      <c r="A297" s="10">
        <v>44604</v>
      </c>
      <c r="B297" s="11" t="s">
        <v>26</v>
      </c>
      <c r="C297" s="12">
        <v>13</v>
      </c>
      <c r="D297" s="12" t="s">
        <v>108</v>
      </c>
      <c r="E297" s="12" t="s">
        <v>107</v>
      </c>
      <c r="F297" s="13">
        <v>0</v>
      </c>
      <c r="G297" s="12" t="str">
        <f>VLOOKUP(InputData[[#This Row],[PRODUCT ID]],MasterData[],2,0)</f>
        <v>Product10</v>
      </c>
      <c r="H297" s="12" t="str">
        <f>VLOOKUP(InputData[[#This Row],[PRODUCT ID]],MasterData[],3,0)</f>
        <v>Category02</v>
      </c>
      <c r="I297" s="12" t="str">
        <f>VLOOKUP(InputData[[#This Row],[PRODUCT ID]],MasterData[],4,0)</f>
        <v>Ft</v>
      </c>
      <c r="J297" s="14">
        <f>VLOOKUP(InputData[[#This Row],[PRODUCT ID]],MasterData[],5,0)</f>
        <v>148</v>
      </c>
      <c r="K297" s="14">
        <f>VLOOKUP(InputData[[#This Row],[PRODUCT ID]],MasterData[],5,0)</f>
        <v>148</v>
      </c>
      <c r="L297" s="14">
        <f>InputData[[#This Row],[BUYING PRIZE]]*InputData[[#This Row],[QUANTITY]]</f>
        <v>1924</v>
      </c>
      <c r="M297" s="14">
        <f>InputData[[#This Row],[SELLING PRICE]]*InputData[[#This Row],[QUANTITY]]*(1-InputData[[#This Row],[DISCOUNT %]])</f>
        <v>1924</v>
      </c>
      <c r="N297" s="12">
        <f>DAY(InputData[[#This Row],[DATE]])</f>
        <v>12</v>
      </c>
      <c r="O297" s="12" t="str">
        <f>TEXT(InputData[[#This Row],[DATE]],"mmm")</f>
        <v>Feb</v>
      </c>
      <c r="P297" s="12">
        <f>YEAR(InputData[[#This Row],[DATE]])</f>
        <v>2022</v>
      </c>
      <c r="Q297" s="12"/>
    </row>
    <row r="298" spans="1:17" x14ac:dyDescent="0.3">
      <c r="A298" s="10">
        <v>44606</v>
      </c>
      <c r="B298" s="11" t="s">
        <v>60</v>
      </c>
      <c r="C298" s="12">
        <v>8</v>
      </c>
      <c r="D298" s="12" t="s">
        <v>106</v>
      </c>
      <c r="E298" s="12" t="s">
        <v>107</v>
      </c>
      <c r="F298" s="13">
        <v>0</v>
      </c>
      <c r="G298" s="12" t="str">
        <f>VLOOKUP(InputData[[#This Row],[PRODUCT ID]],MasterData[],2,0)</f>
        <v>Product26</v>
      </c>
      <c r="H298" s="12" t="str">
        <f>VLOOKUP(InputData[[#This Row],[PRODUCT ID]],MasterData[],3,0)</f>
        <v>Category04</v>
      </c>
      <c r="I298" s="12" t="str">
        <f>VLOOKUP(InputData[[#This Row],[PRODUCT ID]],MasterData[],4,0)</f>
        <v>No.</v>
      </c>
      <c r="J298" s="14">
        <f>VLOOKUP(InputData[[#This Row],[PRODUCT ID]],MasterData[],5,0)</f>
        <v>18</v>
      </c>
      <c r="K298" s="14">
        <f>VLOOKUP(InputData[[#This Row],[PRODUCT ID]],MasterData[],5,0)</f>
        <v>18</v>
      </c>
      <c r="L298" s="14">
        <f>InputData[[#This Row],[BUYING PRIZE]]*InputData[[#This Row],[QUANTITY]]</f>
        <v>144</v>
      </c>
      <c r="M298" s="14">
        <f>InputData[[#This Row],[SELLING PRICE]]*InputData[[#This Row],[QUANTITY]]*(1-InputData[[#This Row],[DISCOUNT %]])</f>
        <v>144</v>
      </c>
      <c r="N298" s="12">
        <f>DAY(InputData[[#This Row],[DATE]])</f>
        <v>14</v>
      </c>
      <c r="O298" s="12" t="str">
        <f>TEXT(InputData[[#This Row],[DATE]],"mmm")</f>
        <v>Feb</v>
      </c>
      <c r="P298" s="12">
        <f>YEAR(InputData[[#This Row],[DATE]])</f>
        <v>2022</v>
      </c>
      <c r="Q298" s="12"/>
    </row>
    <row r="299" spans="1:17" x14ac:dyDescent="0.3">
      <c r="A299" s="10">
        <v>44606</v>
      </c>
      <c r="B299" s="11" t="s">
        <v>65</v>
      </c>
      <c r="C299" s="12">
        <v>3</v>
      </c>
      <c r="D299" s="12" t="s">
        <v>108</v>
      </c>
      <c r="E299" s="12" t="s">
        <v>107</v>
      </c>
      <c r="F299" s="13">
        <v>0</v>
      </c>
      <c r="G299" s="12" t="str">
        <f>VLOOKUP(InputData[[#This Row],[PRODUCT ID]],MasterData[],2,0)</f>
        <v>Product28</v>
      </c>
      <c r="H299" s="12" t="str">
        <f>VLOOKUP(InputData[[#This Row],[PRODUCT ID]],MasterData[],3,0)</f>
        <v>Category04</v>
      </c>
      <c r="I299" s="12" t="str">
        <f>VLOOKUP(InputData[[#This Row],[PRODUCT ID]],MasterData[],4,0)</f>
        <v>No.</v>
      </c>
      <c r="J299" s="14">
        <f>VLOOKUP(InputData[[#This Row],[PRODUCT ID]],MasterData[],5,0)</f>
        <v>37</v>
      </c>
      <c r="K299" s="14">
        <f>VLOOKUP(InputData[[#This Row],[PRODUCT ID]],MasterData[],5,0)</f>
        <v>37</v>
      </c>
      <c r="L299" s="14">
        <f>InputData[[#This Row],[BUYING PRIZE]]*InputData[[#This Row],[QUANTITY]]</f>
        <v>111</v>
      </c>
      <c r="M299" s="14">
        <f>InputData[[#This Row],[SELLING PRICE]]*InputData[[#This Row],[QUANTITY]]*(1-InputData[[#This Row],[DISCOUNT %]])</f>
        <v>111</v>
      </c>
      <c r="N299" s="12">
        <f>DAY(InputData[[#This Row],[DATE]])</f>
        <v>14</v>
      </c>
      <c r="O299" s="12" t="str">
        <f>TEXT(InputData[[#This Row],[DATE]],"mmm")</f>
        <v>Feb</v>
      </c>
      <c r="P299" s="12">
        <f>YEAR(InputData[[#This Row],[DATE]])</f>
        <v>2022</v>
      </c>
      <c r="Q299" s="12"/>
    </row>
    <row r="300" spans="1:17" x14ac:dyDescent="0.3">
      <c r="A300" s="10">
        <v>44608</v>
      </c>
      <c r="B300" s="11" t="s">
        <v>73</v>
      </c>
      <c r="C300" s="12">
        <v>1</v>
      </c>
      <c r="D300" s="12" t="s">
        <v>106</v>
      </c>
      <c r="E300" s="12" t="s">
        <v>107</v>
      </c>
      <c r="F300" s="13">
        <v>0</v>
      </c>
      <c r="G300" s="12" t="str">
        <f>VLOOKUP(InputData[[#This Row],[PRODUCT ID]],MasterData[],2,0)</f>
        <v>Product32</v>
      </c>
      <c r="H300" s="12" t="str">
        <f>VLOOKUP(InputData[[#This Row],[PRODUCT ID]],MasterData[],3,0)</f>
        <v>Category04</v>
      </c>
      <c r="I300" s="12" t="str">
        <f>VLOOKUP(InputData[[#This Row],[PRODUCT ID]],MasterData[],4,0)</f>
        <v>Kg</v>
      </c>
      <c r="J300" s="14">
        <f>VLOOKUP(InputData[[#This Row],[PRODUCT ID]],MasterData[],5,0)</f>
        <v>89</v>
      </c>
      <c r="K300" s="14">
        <f>VLOOKUP(InputData[[#This Row],[PRODUCT ID]],MasterData[],5,0)</f>
        <v>89</v>
      </c>
      <c r="L300" s="14">
        <f>InputData[[#This Row],[BUYING PRIZE]]*InputData[[#This Row],[QUANTITY]]</f>
        <v>89</v>
      </c>
      <c r="M300" s="14">
        <f>InputData[[#This Row],[SELLING PRICE]]*InputData[[#This Row],[QUANTITY]]*(1-InputData[[#This Row],[DISCOUNT %]])</f>
        <v>89</v>
      </c>
      <c r="N300" s="12">
        <f>DAY(InputData[[#This Row],[DATE]])</f>
        <v>16</v>
      </c>
      <c r="O300" s="12" t="str">
        <f>TEXT(InputData[[#This Row],[DATE]],"mmm")</f>
        <v>Feb</v>
      </c>
      <c r="P300" s="12">
        <f>YEAR(InputData[[#This Row],[DATE]])</f>
        <v>2022</v>
      </c>
      <c r="Q300" s="12"/>
    </row>
    <row r="301" spans="1:17" x14ac:dyDescent="0.3">
      <c r="A301" s="10">
        <v>44611</v>
      </c>
      <c r="B301" s="11" t="s">
        <v>10</v>
      </c>
      <c r="C301" s="12">
        <v>13</v>
      </c>
      <c r="D301" s="12" t="s">
        <v>106</v>
      </c>
      <c r="E301" s="12" t="s">
        <v>107</v>
      </c>
      <c r="F301" s="13">
        <v>0</v>
      </c>
      <c r="G301" s="12" t="str">
        <f>VLOOKUP(InputData[[#This Row],[PRODUCT ID]],MasterData[],2,0)</f>
        <v>Product02</v>
      </c>
      <c r="H301" s="12" t="str">
        <f>VLOOKUP(InputData[[#This Row],[PRODUCT ID]],MasterData[],3,0)</f>
        <v>Category01</v>
      </c>
      <c r="I301" s="12" t="str">
        <f>VLOOKUP(InputData[[#This Row],[PRODUCT ID]],MasterData[],4,0)</f>
        <v>Kg</v>
      </c>
      <c r="J301" s="14">
        <f>VLOOKUP(InputData[[#This Row],[PRODUCT ID]],MasterData[],5,0)</f>
        <v>105</v>
      </c>
      <c r="K301" s="14">
        <f>VLOOKUP(InputData[[#This Row],[PRODUCT ID]],MasterData[],5,0)</f>
        <v>105</v>
      </c>
      <c r="L301" s="14">
        <f>InputData[[#This Row],[BUYING PRIZE]]*InputData[[#This Row],[QUANTITY]]</f>
        <v>1365</v>
      </c>
      <c r="M301" s="14">
        <f>InputData[[#This Row],[SELLING PRICE]]*InputData[[#This Row],[QUANTITY]]*(1-InputData[[#This Row],[DISCOUNT %]])</f>
        <v>1365</v>
      </c>
      <c r="N301" s="12">
        <f>DAY(InputData[[#This Row],[DATE]])</f>
        <v>19</v>
      </c>
      <c r="O301" s="12" t="str">
        <f>TEXT(InputData[[#This Row],[DATE]],"mmm")</f>
        <v>Feb</v>
      </c>
      <c r="P301" s="12">
        <f>YEAR(InputData[[#This Row],[DATE]])</f>
        <v>2022</v>
      </c>
      <c r="Q301" s="12"/>
    </row>
    <row r="302" spans="1:17" x14ac:dyDescent="0.3">
      <c r="A302" s="10">
        <v>44612</v>
      </c>
      <c r="B302" s="11" t="s">
        <v>31</v>
      </c>
      <c r="C302" s="12">
        <v>6</v>
      </c>
      <c r="D302" s="12" t="s">
        <v>108</v>
      </c>
      <c r="E302" s="12" t="s">
        <v>107</v>
      </c>
      <c r="F302" s="13">
        <v>0</v>
      </c>
      <c r="G302" s="12" t="str">
        <f>VLOOKUP(InputData[[#This Row],[PRODUCT ID]],MasterData[],2,0)</f>
        <v>Product12</v>
      </c>
      <c r="H302" s="12" t="str">
        <f>VLOOKUP(InputData[[#This Row],[PRODUCT ID]],MasterData[],3,0)</f>
        <v>Category02</v>
      </c>
      <c r="I302" s="12" t="str">
        <f>VLOOKUP(InputData[[#This Row],[PRODUCT ID]],MasterData[],4,0)</f>
        <v>Kg</v>
      </c>
      <c r="J302" s="14">
        <f>VLOOKUP(InputData[[#This Row],[PRODUCT ID]],MasterData[],5,0)</f>
        <v>73</v>
      </c>
      <c r="K302" s="14">
        <f>VLOOKUP(InputData[[#This Row],[PRODUCT ID]],MasterData[],5,0)</f>
        <v>73</v>
      </c>
      <c r="L302" s="14">
        <f>InputData[[#This Row],[BUYING PRIZE]]*InputData[[#This Row],[QUANTITY]]</f>
        <v>438</v>
      </c>
      <c r="M302" s="14">
        <f>InputData[[#This Row],[SELLING PRICE]]*InputData[[#This Row],[QUANTITY]]*(1-InputData[[#This Row],[DISCOUNT %]])</f>
        <v>438</v>
      </c>
      <c r="N302" s="12">
        <f>DAY(InputData[[#This Row],[DATE]])</f>
        <v>20</v>
      </c>
      <c r="O302" s="12" t="str">
        <f>TEXT(InputData[[#This Row],[DATE]],"mmm")</f>
        <v>Feb</v>
      </c>
      <c r="P302" s="12">
        <f>YEAR(InputData[[#This Row],[DATE]])</f>
        <v>2022</v>
      </c>
      <c r="Q302" s="12"/>
    </row>
    <row r="303" spans="1:17" x14ac:dyDescent="0.3">
      <c r="A303" s="10">
        <v>44615</v>
      </c>
      <c r="B303" s="11" t="s">
        <v>33</v>
      </c>
      <c r="C303" s="12">
        <v>6</v>
      </c>
      <c r="D303" s="12" t="s">
        <v>106</v>
      </c>
      <c r="E303" s="12" t="s">
        <v>106</v>
      </c>
      <c r="F303" s="13">
        <v>0</v>
      </c>
      <c r="G303" s="12" t="str">
        <f>VLOOKUP(InputData[[#This Row],[PRODUCT ID]],MasterData[],2,0)</f>
        <v>Product13</v>
      </c>
      <c r="H303" s="12" t="str">
        <f>VLOOKUP(InputData[[#This Row],[PRODUCT ID]],MasterData[],3,0)</f>
        <v>Category02</v>
      </c>
      <c r="I303" s="12" t="str">
        <f>VLOOKUP(InputData[[#This Row],[PRODUCT ID]],MasterData[],4,0)</f>
        <v>Kg</v>
      </c>
      <c r="J303" s="14">
        <f>VLOOKUP(InputData[[#This Row],[PRODUCT ID]],MasterData[],5,0)</f>
        <v>112</v>
      </c>
      <c r="K303" s="14">
        <f>VLOOKUP(InputData[[#This Row],[PRODUCT ID]],MasterData[],5,0)</f>
        <v>112</v>
      </c>
      <c r="L303" s="14">
        <f>InputData[[#This Row],[BUYING PRIZE]]*InputData[[#This Row],[QUANTITY]]</f>
        <v>672</v>
      </c>
      <c r="M303" s="14">
        <f>InputData[[#This Row],[SELLING PRICE]]*InputData[[#This Row],[QUANTITY]]*(1-InputData[[#This Row],[DISCOUNT %]])</f>
        <v>672</v>
      </c>
      <c r="N303" s="12">
        <f>DAY(InputData[[#This Row],[DATE]])</f>
        <v>23</v>
      </c>
      <c r="O303" s="12" t="str">
        <f>TEXT(InputData[[#This Row],[DATE]],"mmm")</f>
        <v>Feb</v>
      </c>
      <c r="P303" s="12">
        <f>YEAR(InputData[[#This Row],[DATE]])</f>
        <v>2022</v>
      </c>
      <c r="Q303" s="12"/>
    </row>
    <row r="304" spans="1:17" x14ac:dyDescent="0.3">
      <c r="A304" s="10">
        <v>44615</v>
      </c>
      <c r="B304" s="11" t="s">
        <v>39</v>
      </c>
      <c r="C304" s="12">
        <v>15</v>
      </c>
      <c r="D304" s="12" t="s">
        <v>106</v>
      </c>
      <c r="E304" s="12" t="s">
        <v>107</v>
      </c>
      <c r="F304" s="13">
        <v>0</v>
      </c>
      <c r="G304" s="12" t="str">
        <f>VLOOKUP(InputData[[#This Row],[PRODUCT ID]],MasterData[],2,0)</f>
        <v>Product16</v>
      </c>
      <c r="H304" s="12" t="str">
        <f>VLOOKUP(InputData[[#This Row],[PRODUCT ID]],MasterData[],3,0)</f>
        <v>Category02</v>
      </c>
      <c r="I304" s="12" t="str">
        <f>VLOOKUP(InputData[[#This Row],[PRODUCT ID]],MasterData[],4,0)</f>
        <v>No.</v>
      </c>
      <c r="J304" s="14">
        <f>VLOOKUP(InputData[[#This Row],[PRODUCT ID]],MasterData[],5,0)</f>
        <v>13</v>
      </c>
      <c r="K304" s="14">
        <f>VLOOKUP(InputData[[#This Row],[PRODUCT ID]],MasterData[],5,0)</f>
        <v>13</v>
      </c>
      <c r="L304" s="14">
        <f>InputData[[#This Row],[BUYING PRIZE]]*InputData[[#This Row],[QUANTITY]]</f>
        <v>195</v>
      </c>
      <c r="M304" s="14">
        <f>InputData[[#This Row],[SELLING PRICE]]*InputData[[#This Row],[QUANTITY]]*(1-InputData[[#This Row],[DISCOUNT %]])</f>
        <v>195</v>
      </c>
      <c r="N304" s="12">
        <f>DAY(InputData[[#This Row],[DATE]])</f>
        <v>23</v>
      </c>
      <c r="O304" s="12" t="str">
        <f>TEXT(InputData[[#This Row],[DATE]],"mmm")</f>
        <v>Feb</v>
      </c>
      <c r="P304" s="12">
        <f>YEAR(InputData[[#This Row],[DATE]])</f>
        <v>2022</v>
      </c>
      <c r="Q304" s="12"/>
    </row>
    <row r="305" spans="1:17" x14ac:dyDescent="0.3">
      <c r="A305" s="10">
        <v>44615</v>
      </c>
      <c r="B305" s="11" t="s">
        <v>81</v>
      </c>
      <c r="C305" s="12">
        <v>8</v>
      </c>
      <c r="D305" s="12" t="s">
        <v>108</v>
      </c>
      <c r="E305" s="12" t="s">
        <v>106</v>
      </c>
      <c r="F305" s="13">
        <v>0</v>
      </c>
      <c r="G305" s="12" t="str">
        <f>VLOOKUP(InputData[[#This Row],[PRODUCT ID]],MasterData[],2,0)</f>
        <v>Product36</v>
      </c>
      <c r="H305" s="12" t="str">
        <f>VLOOKUP(InputData[[#This Row],[PRODUCT ID]],MasterData[],3,0)</f>
        <v>Category04</v>
      </c>
      <c r="I305" s="12" t="str">
        <f>VLOOKUP(InputData[[#This Row],[PRODUCT ID]],MasterData[],4,0)</f>
        <v>Kg</v>
      </c>
      <c r="J305" s="14">
        <f>VLOOKUP(InputData[[#This Row],[PRODUCT ID]],MasterData[],5,0)</f>
        <v>90</v>
      </c>
      <c r="K305" s="14">
        <f>VLOOKUP(InputData[[#This Row],[PRODUCT ID]],MasterData[],5,0)</f>
        <v>90</v>
      </c>
      <c r="L305" s="14">
        <f>InputData[[#This Row],[BUYING PRIZE]]*InputData[[#This Row],[QUANTITY]]</f>
        <v>720</v>
      </c>
      <c r="M305" s="14">
        <f>InputData[[#This Row],[SELLING PRICE]]*InputData[[#This Row],[QUANTITY]]*(1-InputData[[#This Row],[DISCOUNT %]])</f>
        <v>720</v>
      </c>
      <c r="N305" s="12">
        <f>DAY(InputData[[#This Row],[DATE]])</f>
        <v>23</v>
      </c>
      <c r="O305" s="12" t="str">
        <f>TEXT(InputData[[#This Row],[DATE]],"mmm")</f>
        <v>Feb</v>
      </c>
      <c r="P305" s="12">
        <f>YEAR(InputData[[#This Row],[DATE]])</f>
        <v>2022</v>
      </c>
      <c r="Q305" s="12"/>
    </row>
    <row r="306" spans="1:17" x14ac:dyDescent="0.3">
      <c r="A306" s="10">
        <v>44619</v>
      </c>
      <c r="B306" s="11" t="s">
        <v>31</v>
      </c>
      <c r="C306" s="12">
        <v>7</v>
      </c>
      <c r="D306" s="12" t="s">
        <v>108</v>
      </c>
      <c r="E306" s="12" t="s">
        <v>107</v>
      </c>
      <c r="F306" s="13">
        <v>0</v>
      </c>
      <c r="G306" s="12" t="str">
        <f>VLOOKUP(InputData[[#This Row],[PRODUCT ID]],MasterData[],2,0)</f>
        <v>Product12</v>
      </c>
      <c r="H306" s="12" t="str">
        <f>VLOOKUP(InputData[[#This Row],[PRODUCT ID]],MasterData[],3,0)</f>
        <v>Category02</v>
      </c>
      <c r="I306" s="12" t="str">
        <f>VLOOKUP(InputData[[#This Row],[PRODUCT ID]],MasterData[],4,0)</f>
        <v>Kg</v>
      </c>
      <c r="J306" s="14">
        <f>VLOOKUP(InputData[[#This Row],[PRODUCT ID]],MasterData[],5,0)</f>
        <v>73</v>
      </c>
      <c r="K306" s="14">
        <f>VLOOKUP(InputData[[#This Row],[PRODUCT ID]],MasterData[],5,0)</f>
        <v>73</v>
      </c>
      <c r="L306" s="14">
        <f>InputData[[#This Row],[BUYING PRIZE]]*InputData[[#This Row],[QUANTITY]]</f>
        <v>511</v>
      </c>
      <c r="M306" s="14">
        <f>InputData[[#This Row],[SELLING PRICE]]*InputData[[#This Row],[QUANTITY]]*(1-InputData[[#This Row],[DISCOUNT %]])</f>
        <v>511</v>
      </c>
      <c r="N306" s="12">
        <f>DAY(InputData[[#This Row],[DATE]])</f>
        <v>27</v>
      </c>
      <c r="O306" s="12" t="str">
        <f>TEXT(InputData[[#This Row],[DATE]],"mmm")</f>
        <v>Feb</v>
      </c>
      <c r="P306" s="12">
        <f>YEAR(InputData[[#This Row],[DATE]])</f>
        <v>2022</v>
      </c>
      <c r="Q306" s="12"/>
    </row>
    <row r="307" spans="1:17" x14ac:dyDescent="0.3">
      <c r="A307" s="10">
        <v>44619</v>
      </c>
      <c r="B307" s="11" t="s">
        <v>16</v>
      </c>
      <c r="C307" s="12">
        <v>15</v>
      </c>
      <c r="D307" s="12" t="s">
        <v>108</v>
      </c>
      <c r="E307" s="12" t="s">
        <v>106</v>
      </c>
      <c r="F307" s="13">
        <v>0</v>
      </c>
      <c r="G307" s="12" t="str">
        <f>VLOOKUP(InputData[[#This Row],[PRODUCT ID]],MasterData[],2,0)</f>
        <v>Product05</v>
      </c>
      <c r="H307" s="12" t="str">
        <f>VLOOKUP(InputData[[#This Row],[PRODUCT ID]],MasterData[],3,0)</f>
        <v>Category01</v>
      </c>
      <c r="I307" s="12" t="str">
        <f>VLOOKUP(InputData[[#This Row],[PRODUCT ID]],MasterData[],4,0)</f>
        <v>Ft</v>
      </c>
      <c r="J307" s="14">
        <f>VLOOKUP(InputData[[#This Row],[PRODUCT ID]],MasterData[],5,0)</f>
        <v>133</v>
      </c>
      <c r="K307" s="14">
        <f>VLOOKUP(InputData[[#This Row],[PRODUCT ID]],MasterData[],5,0)</f>
        <v>133</v>
      </c>
      <c r="L307" s="14">
        <f>InputData[[#This Row],[BUYING PRIZE]]*InputData[[#This Row],[QUANTITY]]</f>
        <v>1995</v>
      </c>
      <c r="M307" s="14">
        <f>InputData[[#This Row],[SELLING PRICE]]*InputData[[#This Row],[QUANTITY]]*(1-InputData[[#This Row],[DISCOUNT %]])</f>
        <v>1995</v>
      </c>
      <c r="N307" s="12">
        <f>DAY(InputData[[#This Row],[DATE]])</f>
        <v>27</v>
      </c>
      <c r="O307" s="12" t="str">
        <f>TEXT(InputData[[#This Row],[DATE]],"mmm")</f>
        <v>Feb</v>
      </c>
      <c r="P307" s="12">
        <f>YEAR(InputData[[#This Row],[DATE]])</f>
        <v>2022</v>
      </c>
      <c r="Q307" s="12"/>
    </row>
    <row r="308" spans="1:17" x14ac:dyDescent="0.3">
      <c r="A308" s="10">
        <v>44620</v>
      </c>
      <c r="B308" s="11" t="s">
        <v>83</v>
      </c>
      <c r="C308" s="12">
        <v>15</v>
      </c>
      <c r="D308" s="12" t="s">
        <v>108</v>
      </c>
      <c r="E308" s="12" t="s">
        <v>107</v>
      </c>
      <c r="F308" s="13">
        <v>0</v>
      </c>
      <c r="G308" s="12" t="str">
        <f>VLOOKUP(InputData[[#This Row],[PRODUCT ID]],MasterData[],2,0)</f>
        <v>Product37</v>
      </c>
      <c r="H308" s="12" t="str">
        <f>VLOOKUP(InputData[[#This Row],[PRODUCT ID]],MasterData[],3,0)</f>
        <v>Category05</v>
      </c>
      <c r="I308" s="12" t="str">
        <f>VLOOKUP(InputData[[#This Row],[PRODUCT ID]],MasterData[],4,0)</f>
        <v>Kg</v>
      </c>
      <c r="J308" s="14">
        <f>VLOOKUP(InputData[[#This Row],[PRODUCT ID]],MasterData[],5,0)</f>
        <v>67</v>
      </c>
      <c r="K308" s="14">
        <f>VLOOKUP(InputData[[#This Row],[PRODUCT ID]],MasterData[],5,0)</f>
        <v>67</v>
      </c>
      <c r="L308" s="14">
        <f>InputData[[#This Row],[BUYING PRIZE]]*InputData[[#This Row],[QUANTITY]]</f>
        <v>1005</v>
      </c>
      <c r="M308" s="14">
        <f>InputData[[#This Row],[SELLING PRICE]]*InputData[[#This Row],[QUANTITY]]*(1-InputData[[#This Row],[DISCOUNT %]])</f>
        <v>1005</v>
      </c>
      <c r="N308" s="12">
        <f>DAY(InputData[[#This Row],[DATE]])</f>
        <v>28</v>
      </c>
      <c r="O308" s="12" t="str">
        <f>TEXT(InputData[[#This Row],[DATE]],"mmm")</f>
        <v>Feb</v>
      </c>
      <c r="P308" s="12">
        <f>YEAR(InputData[[#This Row],[DATE]])</f>
        <v>2022</v>
      </c>
      <c r="Q308" s="12"/>
    </row>
    <row r="309" spans="1:17" x14ac:dyDescent="0.3">
      <c r="A309" s="10">
        <v>44624</v>
      </c>
      <c r="B309" s="11" t="s">
        <v>60</v>
      </c>
      <c r="C309" s="12">
        <v>13</v>
      </c>
      <c r="D309" s="12" t="s">
        <v>105</v>
      </c>
      <c r="E309" s="12" t="s">
        <v>106</v>
      </c>
      <c r="F309" s="13">
        <v>0</v>
      </c>
      <c r="G309" s="12" t="str">
        <f>VLOOKUP(InputData[[#This Row],[PRODUCT ID]],MasterData[],2,0)</f>
        <v>Product26</v>
      </c>
      <c r="H309" s="12" t="str">
        <f>VLOOKUP(InputData[[#This Row],[PRODUCT ID]],MasterData[],3,0)</f>
        <v>Category04</v>
      </c>
      <c r="I309" s="12" t="str">
        <f>VLOOKUP(InputData[[#This Row],[PRODUCT ID]],MasterData[],4,0)</f>
        <v>No.</v>
      </c>
      <c r="J309" s="14">
        <f>VLOOKUP(InputData[[#This Row],[PRODUCT ID]],MasterData[],5,0)</f>
        <v>18</v>
      </c>
      <c r="K309" s="14">
        <f>VLOOKUP(InputData[[#This Row],[PRODUCT ID]],MasterData[],5,0)</f>
        <v>18</v>
      </c>
      <c r="L309" s="14">
        <f>InputData[[#This Row],[BUYING PRIZE]]*InputData[[#This Row],[QUANTITY]]</f>
        <v>234</v>
      </c>
      <c r="M309" s="14">
        <f>InputData[[#This Row],[SELLING PRICE]]*InputData[[#This Row],[QUANTITY]]*(1-InputData[[#This Row],[DISCOUNT %]])</f>
        <v>234</v>
      </c>
      <c r="N309" s="12">
        <f>DAY(InputData[[#This Row],[DATE]])</f>
        <v>4</v>
      </c>
      <c r="O309" s="12" t="str">
        <f>TEXT(InputData[[#This Row],[DATE]],"mmm")</f>
        <v>Mar</v>
      </c>
      <c r="P309" s="12">
        <f>YEAR(InputData[[#This Row],[DATE]])</f>
        <v>2022</v>
      </c>
      <c r="Q309" s="12"/>
    </row>
    <row r="310" spans="1:17" x14ac:dyDescent="0.3">
      <c r="A310" s="10">
        <v>44626</v>
      </c>
      <c r="B310" s="11" t="s">
        <v>14</v>
      </c>
      <c r="C310" s="12">
        <v>2</v>
      </c>
      <c r="D310" s="12" t="s">
        <v>108</v>
      </c>
      <c r="E310" s="12" t="s">
        <v>107</v>
      </c>
      <c r="F310" s="13">
        <v>0</v>
      </c>
      <c r="G310" s="12" t="str">
        <f>VLOOKUP(InputData[[#This Row],[PRODUCT ID]],MasterData[],2,0)</f>
        <v>Product04</v>
      </c>
      <c r="H310" s="12" t="str">
        <f>VLOOKUP(InputData[[#This Row],[PRODUCT ID]],MasterData[],3,0)</f>
        <v>Category01</v>
      </c>
      <c r="I310" s="12" t="str">
        <f>VLOOKUP(InputData[[#This Row],[PRODUCT ID]],MasterData[],4,0)</f>
        <v>Lt</v>
      </c>
      <c r="J310" s="14">
        <f>VLOOKUP(InputData[[#This Row],[PRODUCT ID]],MasterData[],5,0)</f>
        <v>44</v>
      </c>
      <c r="K310" s="14">
        <f>VLOOKUP(InputData[[#This Row],[PRODUCT ID]],MasterData[],5,0)</f>
        <v>44</v>
      </c>
      <c r="L310" s="14">
        <f>InputData[[#This Row],[BUYING PRIZE]]*InputData[[#This Row],[QUANTITY]]</f>
        <v>88</v>
      </c>
      <c r="M310" s="14">
        <f>InputData[[#This Row],[SELLING PRICE]]*InputData[[#This Row],[QUANTITY]]*(1-InputData[[#This Row],[DISCOUNT %]])</f>
        <v>88</v>
      </c>
      <c r="N310" s="12">
        <f>DAY(InputData[[#This Row],[DATE]])</f>
        <v>6</v>
      </c>
      <c r="O310" s="12" t="str">
        <f>TEXT(InputData[[#This Row],[DATE]],"mmm")</f>
        <v>Mar</v>
      </c>
      <c r="P310" s="12">
        <f>YEAR(InputData[[#This Row],[DATE]])</f>
        <v>2022</v>
      </c>
      <c r="Q310" s="12"/>
    </row>
    <row r="311" spans="1:17" x14ac:dyDescent="0.3">
      <c r="A311" s="10">
        <v>44627</v>
      </c>
      <c r="B311" s="11" t="s">
        <v>12</v>
      </c>
      <c r="C311" s="12">
        <v>1</v>
      </c>
      <c r="D311" s="12" t="s">
        <v>108</v>
      </c>
      <c r="E311" s="12" t="s">
        <v>107</v>
      </c>
      <c r="F311" s="13">
        <v>0</v>
      </c>
      <c r="G311" s="12" t="str">
        <f>VLOOKUP(InputData[[#This Row],[PRODUCT ID]],MasterData[],2,0)</f>
        <v>Product03</v>
      </c>
      <c r="H311" s="12" t="str">
        <f>VLOOKUP(InputData[[#This Row],[PRODUCT ID]],MasterData[],3,0)</f>
        <v>Category01</v>
      </c>
      <c r="I311" s="12" t="str">
        <f>VLOOKUP(InputData[[#This Row],[PRODUCT ID]],MasterData[],4,0)</f>
        <v>Kg</v>
      </c>
      <c r="J311" s="14">
        <f>VLOOKUP(InputData[[#This Row],[PRODUCT ID]],MasterData[],5,0)</f>
        <v>71</v>
      </c>
      <c r="K311" s="14">
        <f>VLOOKUP(InputData[[#This Row],[PRODUCT ID]],MasterData[],5,0)</f>
        <v>71</v>
      </c>
      <c r="L311" s="14">
        <f>InputData[[#This Row],[BUYING PRIZE]]*InputData[[#This Row],[QUANTITY]]</f>
        <v>71</v>
      </c>
      <c r="M311" s="14">
        <f>InputData[[#This Row],[SELLING PRICE]]*InputData[[#This Row],[QUANTITY]]*(1-InputData[[#This Row],[DISCOUNT %]])</f>
        <v>71</v>
      </c>
      <c r="N311" s="12">
        <f>DAY(InputData[[#This Row],[DATE]])</f>
        <v>7</v>
      </c>
      <c r="O311" s="12" t="str">
        <f>TEXT(InputData[[#This Row],[DATE]],"mmm")</f>
        <v>Mar</v>
      </c>
      <c r="P311" s="12">
        <f>YEAR(InputData[[#This Row],[DATE]])</f>
        <v>2022</v>
      </c>
      <c r="Q311" s="12"/>
    </row>
    <row r="312" spans="1:17" x14ac:dyDescent="0.3">
      <c r="A312" s="10">
        <v>44628</v>
      </c>
      <c r="B312" s="11" t="s">
        <v>98</v>
      </c>
      <c r="C312" s="12">
        <v>6</v>
      </c>
      <c r="D312" s="12" t="s">
        <v>108</v>
      </c>
      <c r="E312" s="12" t="s">
        <v>106</v>
      </c>
      <c r="F312" s="13">
        <v>0</v>
      </c>
      <c r="G312" s="12" t="str">
        <f>VLOOKUP(InputData[[#This Row],[PRODUCT ID]],MasterData[],2,0)</f>
        <v>Product44</v>
      </c>
      <c r="H312" s="12" t="str">
        <f>VLOOKUP(InputData[[#This Row],[PRODUCT ID]],MasterData[],3,0)</f>
        <v>Category05</v>
      </c>
      <c r="I312" s="12" t="str">
        <f>VLOOKUP(InputData[[#This Row],[PRODUCT ID]],MasterData[],4,0)</f>
        <v>Kg</v>
      </c>
      <c r="J312" s="14">
        <f>VLOOKUP(InputData[[#This Row],[PRODUCT ID]],MasterData[],5,0)</f>
        <v>76</v>
      </c>
      <c r="K312" s="14">
        <f>VLOOKUP(InputData[[#This Row],[PRODUCT ID]],MasterData[],5,0)</f>
        <v>76</v>
      </c>
      <c r="L312" s="14">
        <f>InputData[[#This Row],[BUYING PRIZE]]*InputData[[#This Row],[QUANTITY]]</f>
        <v>456</v>
      </c>
      <c r="M312" s="14">
        <f>InputData[[#This Row],[SELLING PRICE]]*InputData[[#This Row],[QUANTITY]]*(1-InputData[[#This Row],[DISCOUNT %]])</f>
        <v>456</v>
      </c>
      <c r="N312" s="12">
        <f>DAY(InputData[[#This Row],[DATE]])</f>
        <v>8</v>
      </c>
      <c r="O312" s="12" t="str">
        <f>TEXT(InputData[[#This Row],[DATE]],"mmm")</f>
        <v>Mar</v>
      </c>
      <c r="P312" s="12">
        <f>YEAR(InputData[[#This Row],[DATE]])</f>
        <v>2022</v>
      </c>
      <c r="Q312" s="12"/>
    </row>
    <row r="313" spans="1:17" x14ac:dyDescent="0.3">
      <c r="A313" s="10">
        <v>44629</v>
      </c>
      <c r="B313" s="11" t="s">
        <v>69</v>
      </c>
      <c r="C313" s="12">
        <v>3</v>
      </c>
      <c r="D313" s="12" t="s">
        <v>108</v>
      </c>
      <c r="E313" s="12" t="s">
        <v>106</v>
      </c>
      <c r="F313" s="13">
        <v>0</v>
      </c>
      <c r="G313" s="12" t="str">
        <f>VLOOKUP(InputData[[#This Row],[PRODUCT ID]],MasterData[],2,0)</f>
        <v>Product30</v>
      </c>
      <c r="H313" s="12" t="str">
        <f>VLOOKUP(InputData[[#This Row],[PRODUCT ID]],MasterData[],3,0)</f>
        <v>Category04</v>
      </c>
      <c r="I313" s="12" t="str">
        <f>VLOOKUP(InputData[[#This Row],[PRODUCT ID]],MasterData[],4,0)</f>
        <v>Ft</v>
      </c>
      <c r="J313" s="14">
        <f>VLOOKUP(InputData[[#This Row],[PRODUCT ID]],MasterData[],5,0)</f>
        <v>148</v>
      </c>
      <c r="K313" s="14">
        <f>VLOOKUP(InputData[[#This Row],[PRODUCT ID]],MasterData[],5,0)</f>
        <v>148</v>
      </c>
      <c r="L313" s="14">
        <f>InputData[[#This Row],[BUYING PRIZE]]*InputData[[#This Row],[QUANTITY]]</f>
        <v>444</v>
      </c>
      <c r="M313" s="14">
        <f>InputData[[#This Row],[SELLING PRICE]]*InputData[[#This Row],[QUANTITY]]*(1-InputData[[#This Row],[DISCOUNT %]])</f>
        <v>444</v>
      </c>
      <c r="N313" s="12">
        <f>DAY(InputData[[#This Row],[DATE]])</f>
        <v>9</v>
      </c>
      <c r="O313" s="12" t="str">
        <f>TEXT(InputData[[#This Row],[DATE]],"mmm")</f>
        <v>Mar</v>
      </c>
      <c r="P313" s="12">
        <f>YEAR(InputData[[#This Row],[DATE]])</f>
        <v>2022</v>
      </c>
      <c r="Q313" s="12"/>
    </row>
    <row r="314" spans="1:17" x14ac:dyDescent="0.3">
      <c r="A314" s="10">
        <v>44629</v>
      </c>
      <c r="B314" s="11" t="s">
        <v>14</v>
      </c>
      <c r="C314" s="12">
        <v>11</v>
      </c>
      <c r="D314" s="12" t="s">
        <v>106</v>
      </c>
      <c r="E314" s="12" t="s">
        <v>107</v>
      </c>
      <c r="F314" s="13">
        <v>0</v>
      </c>
      <c r="G314" s="12" t="str">
        <f>VLOOKUP(InputData[[#This Row],[PRODUCT ID]],MasterData[],2,0)</f>
        <v>Product04</v>
      </c>
      <c r="H314" s="12" t="str">
        <f>VLOOKUP(InputData[[#This Row],[PRODUCT ID]],MasterData[],3,0)</f>
        <v>Category01</v>
      </c>
      <c r="I314" s="12" t="str">
        <f>VLOOKUP(InputData[[#This Row],[PRODUCT ID]],MasterData[],4,0)</f>
        <v>Lt</v>
      </c>
      <c r="J314" s="14">
        <f>VLOOKUP(InputData[[#This Row],[PRODUCT ID]],MasterData[],5,0)</f>
        <v>44</v>
      </c>
      <c r="K314" s="14">
        <f>VLOOKUP(InputData[[#This Row],[PRODUCT ID]],MasterData[],5,0)</f>
        <v>44</v>
      </c>
      <c r="L314" s="14">
        <f>InputData[[#This Row],[BUYING PRIZE]]*InputData[[#This Row],[QUANTITY]]</f>
        <v>484</v>
      </c>
      <c r="M314" s="14">
        <f>InputData[[#This Row],[SELLING PRICE]]*InputData[[#This Row],[QUANTITY]]*(1-InputData[[#This Row],[DISCOUNT %]])</f>
        <v>484</v>
      </c>
      <c r="N314" s="12">
        <f>DAY(InputData[[#This Row],[DATE]])</f>
        <v>9</v>
      </c>
      <c r="O314" s="12" t="str">
        <f>TEXT(InputData[[#This Row],[DATE]],"mmm")</f>
        <v>Mar</v>
      </c>
      <c r="P314" s="12">
        <f>YEAR(InputData[[#This Row],[DATE]])</f>
        <v>2022</v>
      </c>
      <c r="Q314" s="12"/>
    </row>
    <row r="315" spans="1:17" x14ac:dyDescent="0.3">
      <c r="A315" s="10">
        <v>44630</v>
      </c>
      <c r="B315" s="11" t="s">
        <v>75</v>
      </c>
      <c r="C315" s="12">
        <v>12</v>
      </c>
      <c r="D315" s="12" t="s">
        <v>105</v>
      </c>
      <c r="E315" s="12" t="s">
        <v>106</v>
      </c>
      <c r="F315" s="13">
        <v>0</v>
      </c>
      <c r="G315" s="12" t="str">
        <f>VLOOKUP(InputData[[#This Row],[PRODUCT ID]],MasterData[],2,0)</f>
        <v>Product33</v>
      </c>
      <c r="H315" s="12" t="str">
        <f>VLOOKUP(InputData[[#This Row],[PRODUCT ID]],MasterData[],3,0)</f>
        <v>Category04</v>
      </c>
      <c r="I315" s="12" t="str">
        <f>VLOOKUP(InputData[[#This Row],[PRODUCT ID]],MasterData[],4,0)</f>
        <v>Kg</v>
      </c>
      <c r="J315" s="14">
        <f>VLOOKUP(InputData[[#This Row],[PRODUCT ID]],MasterData[],5,0)</f>
        <v>95</v>
      </c>
      <c r="K315" s="14">
        <f>VLOOKUP(InputData[[#This Row],[PRODUCT ID]],MasterData[],5,0)</f>
        <v>95</v>
      </c>
      <c r="L315" s="14">
        <f>InputData[[#This Row],[BUYING PRIZE]]*InputData[[#This Row],[QUANTITY]]</f>
        <v>1140</v>
      </c>
      <c r="M315" s="14">
        <f>InputData[[#This Row],[SELLING PRICE]]*InputData[[#This Row],[QUANTITY]]*(1-InputData[[#This Row],[DISCOUNT %]])</f>
        <v>1140</v>
      </c>
      <c r="N315" s="12">
        <f>DAY(InputData[[#This Row],[DATE]])</f>
        <v>10</v>
      </c>
      <c r="O315" s="12" t="str">
        <f>TEXT(InputData[[#This Row],[DATE]],"mmm")</f>
        <v>Mar</v>
      </c>
      <c r="P315" s="12">
        <f>YEAR(InputData[[#This Row],[DATE]])</f>
        <v>2022</v>
      </c>
      <c r="Q315" s="12"/>
    </row>
    <row r="316" spans="1:17" x14ac:dyDescent="0.3">
      <c r="A316" s="10">
        <v>44634</v>
      </c>
      <c r="B316" s="11" t="s">
        <v>39</v>
      </c>
      <c r="C316" s="12">
        <v>2</v>
      </c>
      <c r="D316" s="12" t="s">
        <v>108</v>
      </c>
      <c r="E316" s="12" t="s">
        <v>107</v>
      </c>
      <c r="F316" s="13">
        <v>0</v>
      </c>
      <c r="G316" s="12" t="str">
        <f>VLOOKUP(InputData[[#This Row],[PRODUCT ID]],MasterData[],2,0)</f>
        <v>Product16</v>
      </c>
      <c r="H316" s="12" t="str">
        <f>VLOOKUP(InputData[[#This Row],[PRODUCT ID]],MasterData[],3,0)</f>
        <v>Category02</v>
      </c>
      <c r="I316" s="12" t="str">
        <f>VLOOKUP(InputData[[#This Row],[PRODUCT ID]],MasterData[],4,0)</f>
        <v>No.</v>
      </c>
      <c r="J316" s="14">
        <f>VLOOKUP(InputData[[#This Row],[PRODUCT ID]],MasterData[],5,0)</f>
        <v>13</v>
      </c>
      <c r="K316" s="14">
        <f>VLOOKUP(InputData[[#This Row],[PRODUCT ID]],MasterData[],5,0)</f>
        <v>13</v>
      </c>
      <c r="L316" s="14">
        <f>InputData[[#This Row],[BUYING PRIZE]]*InputData[[#This Row],[QUANTITY]]</f>
        <v>26</v>
      </c>
      <c r="M316" s="14">
        <f>InputData[[#This Row],[SELLING PRICE]]*InputData[[#This Row],[QUANTITY]]*(1-InputData[[#This Row],[DISCOUNT %]])</f>
        <v>26</v>
      </c>
      <c r="N316" s="12">
        <f>DAY(InputData[[#This Row],[DATE]])</f>
        <v>14</v>
      </c>
      <c r="O316" s="12" t="str">
        <f>TEXT(InputData[[#This Row],[DATE]],"mmm")</f>
        <v>Mar</v>
      </c>
      <c r="P316" s="12">
        <f>YEAR(InputData[[#This Row],[DATE]])</f>
        <v>2022</v>
      </c>
      <c r="Q316" s="12"/>
    </row>
    <row r="317" spans="1:17" x14ac:dyDescent="0.3">
      <c r="A317" s="10">
        <v>44634</v>
      </c>
      <c r="B317" s="11" t="s">
        <v>60</v>
      </c>
      <c r="C317" s="12">
        <v>13</v>
      </c>
      <c r="D317" s="12" t="s">
        <v>108</v>
      </c>
      <c r="E317" s="12" t="s">
        <v>106</v>
      </c>
      <c r="F317" s="13">
        <v>0</v>
      </c>
      <c r="G317" s="12" t="str">
        <f>VLOOKUP(InputData[[#This Row],[PRODUCT ID]],MasterData[],2,0)</f>
        <v>Product26</v>
      </c>
      <c r="H317" s="12" t="str">
        <f>VLOOKUP(InputData[[#This Row],[PRODUCT ID]],MasterData[],3,0)</f>
        <v>Category04</v>
      </c>
      <c r="I317" s="12" t="str">
        <f>VLOOKUP(InputData[[#This Row],[PRODUCT ID]],MasterData[],4,0)</f>
        <v>No.</v>
      </c>
      <c r="J317" s="14">
        <f>VLOOKUP(InputData[[#This Row],[PRODUCT ID]],MasterData[],5,0)</f>
        <v>18</v>
      </c>
      <c r="K317" s="14">
        <f>VLOOKUP(InputData[[#This Row],[PRODUCT ID]],MasterData[],5,0)</f>
        <v>18</v>
      </c>
      <c r="L317" s="14">
        <f>InputData[[#This Row],[BUYING PRIZE]]*InputData[[#This Row],[QUANTITY]]</f>
        <v>234</v>
      </c>
      <c r="M317" s="14">
        <f>InputData[[#This Row],[SELLING PRICE]]*InputData[[#This Row],[QUANTITY]]*(1-InputData[[#This Row],[DISCOUNT %]])</f>
        <v>234</v>
      </c>
      <c r="N317" s="12">
        <f>DAY(InputData[[#This Row],[DATE]])</f>
        <v>14</v>
      </c>
      <c r="O317" s="12" t="str">
        <f>TEXT(InputData[[#This Row],[DATE]],"mmm")</f>
        <v>Mar</v>
      </c>
      <c r="P317" s="12">
        <f>YEAR(InputData[[#This Row],[DATE]])</f>
        <v>2022</v>
      </c>
      <c r="Q317" s="12"/>
    </row>
    <row r="318" spans="1:17" x14ac:dyDescent="0.3">
      <c r="A318" s="10">
        <v>44638</v>
      </c>
      <c r="B318" s="11" t="s">
        <v>45</v>
      </c>
      <c r="C318" s="12">
        <v>2</v>
      </c>
      <c r="D318" s="12" t="s">
        <v>106</v>
      </c>
      <c r="E318" s="12" t="s">
        <v>107</v>
      </c>
      <c r="F318" s="13">
        <v>0</v>
      </c>
      <c r="G318" s="12" t="str">
        <f>VLOOKUP(InputData[[#This Row],[PRODUCT ID]],MasterData[],2,0)</f>
        <v>Product19</v>
      </c>
      <c r="H318" s="12" t="str">
        <f>VLOOKUP(InputData[[#This Row],[PRODUCT ID]],MasterData[],3,0)</f>
        <v>Category02</v>
      </c>
      <c r="I318" s="12" t="str">
        <f>VLOOKUP(InputData[[#This Row],[PRODUCT ID]],MasterData[],4,0)</f>
        <v>Ft</v>
      </c>
      <c r="J318" s="14">
        <f>VLOOKUP(InputData[[#This Row],[PRODUCT ID]],MasterData[],5,0)</f>
        <v>150</v>
      </c>
      <c r="K318" s="14">
        <f>VLOOKUP(InputData[[#This Row],[PRODUCT ID]],MasterData[],5,0)</f>
        <v>150</v>
      </c>
      <c r="L318" s="14">
        <f>InputData[[#This Row],[BUYING PRIZE]]*InputData[[#This Row],[QUANTITY]]</f>
        <v>300</v>
      </c>
      <c r="M318" s="14">
        <f>InputData[[#This Row],[SELLING PRICE]]*InputData[[#This Row],[QUANTITY]]*(1-InputData[[#This Row],[DISCOUNT %]])</f>
        <v>300</v>
      </c>
      <c r="N318" s="12">
        <f>DAY(InputData[[#This Row],[DATE]])</f>
        <v>18</v>
      </c>
      <c r="O318" s="12" t="str">
        <f>TEXT(InputData[[#This Row],[DATE]],"mmm")</f>
        <v>Mar</v>
      </c>
      <c r="P318" s="12">
        <f>YEAR(InputData[[#This Row],[DATE]])</f>
        <v>2022</v>
      </c>
      <c r="Q318" s="12"/>
    </row>
    <row r="319" spans="1:17" x14ac:dyDescent="0.3">
      <c r="A319" s="10">
        <v>44638</v>
      </c>
      <c r="B319" s="11" t="s">
        <v>63</v>
      </c>
      <c r="C319" s="12">
        <v>10</v>
      </c>
      <c r="D319" s="12" t="s">
        <v>108</v>
      </c>
      <c r="E319" s="12" t="s">
        <v>107</v>
      </c>
      <c r="F319" s="13">
        <v>0</v>
      </c>
      <c r="G319" s="12" t="str">
        <f>VLOOKUP(InputData[[#This Row],[PRODUCT ID]],MasterData[],2,0)</f>
        <v>Product27</v>
      </c>
      <c r="H319" s="12" t="str">
        <f>VLOOKUP(InputData[[#This Row],[PRODUCT ID]],MasterData[],3,0)</f>
        <v>Category04</v>
      </c>
      <c r="I319" s="12" t="str">
        <f>VLOOKUP(InputData[[#This Row],[PRODUCT ID]],MasterData[],4,0)</f>
        <v>Lt</v>
      </c>
      <c r="J319" s="14">
        <f>VLOOKUP(InputData[[#This Row],[PRODUCT ID]],MasterData[],5,0)</f>
        <v>48</v>
      </c>
      <c r="K319" s="14">
        <f>VLOOKUP(InputData[[#This Row],[PRODUCT ID]],MasterData[],5,0)</f>
        <v>48</v>
      </c>
      <c r="L319" s="14">
        <f>InputData[[#This Row],[BUYING PRIZE]]*InputData[[#This Row],[QUANTITY]]</f>
        <v>480</v>
      </c>
      <c r="M319" s="14">
        <f>InputData[[#This Row],[SELLING PRICE]]*InputData[[#This Row],[QUANTITY]]*(1-InputData[[#This Row],[DISCOUNT %]])</f>
        <v>480</v>
      </c>
      <c r="N319" s="12">
        <f>DAY(InputData[[#This Row],[DATE]])</f>
        <v>18</v>
      </c>
      <c r="O319" s="12" t="str">
        <f>TEXT(InputData[[#This Row],[DATE]],"mmm")</f>
        <v>Mar</v>
      </c>
      <c r="P319" s="12">
        <f>YEAR(InputData[[#This Row],[DATE]])</f>
        <v>2022</v>
      </c>
      <c r="Q319" s="12"/>
    </row>
    <row r="320" spans="1:17" x14ac:dyDescent="0.3">
      <c r="A320" s="10">
        <v>44639</v>
      </c>
      <c r="B320" s="11" t="s">
        <v>92</v>
      </c>
      <c r="C320" s="12">
        <v>6</v>
      </c>
      <c r="D320" s="12" t="s">
        <v>105</v>
      </c>
      <c r="E320" s="12" t="s">
        <v>107</v>
      </c>
      <c r="F320" s="13">
        <v>0</v>
      </c>
      <c r="G320" s="12" t="str">
        <f>VLOOKUP(InputData[[#This Row],[PRODUCT ID]],MasterData[],2,0)</f>
        <v>Product41</v>
      </c>
      <c r="H320" s="12" t="str">
        <f>VLOOKUP(InputData[[#This Row],[PRODUCT ID]],MasterData[],3,0)</f>
        <v>Category05</v>
      </c>
      <c r="I320" s="12" t="str">
        <f>VLOOKUP(InputData[[#This Row],[PRODUCT ID]],MasterData[],4,0)</f>
        <v>Ft</v>
      </c>
      <c r="J320" s="14">
        <f>VLOOKUP(InputData[[#This Row],[PRODUCT ID]],MasterData[],5,0)</f>
        <v>138</v>
      </c>
      <c r="K320" s="14">
        <f>VLOOKUP(InputData[[#This Row],[PRODUCT ID]],MasterData[],5,0)</f>
        <v>138</v>
      </c>
      <c r="L320" s="14">
        <f>InputData[[#This Row],[BUYING PRIZE]]*InputData[[#This Row],[QUANTITY]]</f>
        <v>828</v>
      </c>
      <c r="M320" s="14">
        <f>InputData[[#This Row],[SELLING PRICE]]*InputData[[#This Row],[QUANTITY]]*(1-InputData[[#This Row],[DISCOUNT %]])</f>
        <v>828</v>
      </c>
      <c r="N320" s="12">
        <f>DAY(InputData[[#This Row],[DATE]])</f>
        <v>19</v>
      </c>
      <c r="O320" s="12" t="str">
        <f>TEXT(InputData[[#This Row],[DATE]],"mmm")</f>
        <v>Mar</v>
      </c>
      <c r="P320" s="12">
        <f>YEAR(InputData[[#This Row],[DATE]])</f>
        <v>2022</v>
      </c>
      <c r="Q320" s="12"/>
    </row>
    <row r="321" spans="1:17" x14ac:dyDescent="0.3">
      <c r="A321" s="10">
        <v>44643</v>
      </c>
      <c r="B321" s="11" t="s">
        <v>73</v>
      </c>
      <c r="C321" s="12">
        <v>9</v>
      </c>
      <c r="D321" s="12" t="s">
        <v>108</v>
      </c>
      <c r="E321" s="12" t="s">
        <v>107</v>
      </c>
      <c r="F321" s="13">
        <v>0</v>
      </c>
      <c r="G321" s="12" t="str">
        <f>VLOOKUP(InputData[[#This Row],[PRODUCT ID]],MasterData[],2,0)</f>
        <v>Product32</v>
      </c>
      <c r="H321" s="12" t="str">
        <f>VLOOKUP(InputData[[#This Row],[PRODUCT ID]],MasterData[],3,0)</f>
        <v>Category04</v>
      </c>
      <c r="I321" s="12" t="str">
        <f>VLOOKUP(InputData[[#This Row],[PRODUCT ID]],MasterData[],4,0)</f>
        <v>Kg</v>
      </c>
      <c r="J321" s="14">
        <f>VLOOKUP(InputData[[#This Row],[PRODUCT ID]],MasterData[],5,0)</f>
        <v>89</v>
      </c>
      <c r="K321" s="14">
        <f>VLOOKUP(InputData[[#This Row],[PRODUCT ID]],MasterData[],5,0)</f>
        <v>89</v>
      </c>
      <c r="L321" s="14">
        <f>InputData[[#This Row],[BUYING PRIZE]]*InputData[[#This Row],[QUANTITY]]</f>
        <v>801</v>
      </c>
      <c r="M321" s="14">
        <f>InputData[[#This Row],[SELLING PRICE]]*InputData[[#This Row],[QUANTITY]]*(1-InputData[[#This Row],[DISCOUNT %]])</f>
        <v>801</v>
      </c>
      <c r="N321" s="12">
        <f>DAY(InputData[[#This Row],[DATE]])</f>
        <v>23</v>
      </c>
      <c r="O321" s="12" t="str">
        <f>TEXT(InputData[[#This Row],[DATE]],"mmm")</f>
        <v>Mar</v>
      </c>
      <c r="P321" s="12">
        <f>YEAR(InputData[[#This Row],[DATE]])</f>
        <v>2022</v>
      </c>
      <c r="Q321" s="12"/>
    </row>
    <row r="322" spans="1:17" x14ac:dyDescent="0.3">
      <c r="A322" s="10">
        <v>44645</v>
      </c>
      <c r="B322" s="11" t="s">
        <v>6</v>
      </c>
      <c r="C322" s="12">
        <v>2</v>
      </c>
      <c r="D322" s="12" t="s">
        <v>105</v>
      </c>
      <c r="E322" s="12" t="s">
        <v>106</v>
      </c>
      <c r="F322" s="13">
        <v>0</v>
      </c>
      <c r="G322" s="12" t="str">
        <f>VLOOKUP(InputData[[#This Row],[PRODUCT ID]],MasterData[],2,0)</f>
        <v>Product01</v>
      </c>
      <c r="H322" s="12" t="str">
        <f>VLOOKUP(InputData[[#This Row],[PRODUCT ID]],MasterData[],3,0)</f>
        <v>Category01</v>
      </c>
      <c r="I322" s="12" t="str">
        <f>VLOOKUP(InputData[[#This Row],[PRODUCT ID]],MasterData[],4,0)</f>
        <v>Kg</v>
      </c>
      <c r="J322" s="14">
        <f>VLOOKUP(InputData[[#This Row],[PRODUCT ID]],MasterData[],5,0)</f>
        <v>98</v>
      </c>
      <c r="K322" s="14">
        <f>VLOOKUP(InputData[[#This Row],[PRODUCT ID]],MasterData[],5,0)</f>
        <v>98</v>
      </c>
      <c r="L322" s="14">
        <f>InputData[[#This Row],[BUYING PRIZE]]*InputData[[#This Row],[QUANTITY]]</f>
        <v>196</v>
      </c>
      <c r="M322" s="14">
        <f>InputData[[#This Row],[SELLING PRICE]]*InputData[[#This Row],[QUANTITY]]*(1-InputData[[#This Row],[DISCOUNT %]])</f>
        <v>196</v>
      </c>
      <c r="N322" s="12">
        <f>DAY(InputData[[#This Row],[DATE]])</f>
        <v>25</v>
      </c>
      <c r="O322" s="12" t="str">
        <f>TEXT(InputData[[#This Row],[DATE]],"mmm")</f>
        <v>Mar</v>
      </c>
      <c r="P322" s="12">
        <f>YEAR(InputData[[#This Row],[DATE]])</f>
        <v>2022</v>
      </c>
      <c r="Q322" s="12"/>
    </row>
    <row r="323" spans="1:17" x14ac:dyDescent="0.3">
      <c r="A323" s="10">
        <v>44645</v>
      </c>
      <c r="B323" s="11" t="s">
        <v>69</v>
      </c>
      <c r="C323" s="12">
        <v>11</v>
      </c>
      <c r="D323" s="12" t="s">
        <v>108</v>
      </c>
      <c r="E323" s="12" t="s">
        <v>106</v>
      </c>
      <c r="F323" s="13">
        <v>0</v>
      </c>
      <c r="G323" s="12" t="str">
        <f>VLOOKUP(InputData[[#This Row],[PRODUCT ID]],MasterData[],2,0)</f>
        <v>Product30</v>
      </c>
      <c r="H323" s="12" t="str">
        <f>VLOOKUP(InputData[[#This Row],[PRODUCT ID]],MasterData[],3,0)</f>
        <v>Category04</v>
      </c>
      <c r="I323" s="12" t="str">
        <f>VLOOKUP(InputData[[#This Row],[PRODUCT ID]],MasterData[],4,0)</f>
        <v>Ft</v>
      </c>
      <c r="J323" s="14">
        <f>VLOOKUP(InputData[[#This Row],[PRODUCT ID]],MasterData[],5,0)</f>
        <v>148</v>
      </c>
      <c r="K323" s="14">
        <f>VLOOKUP(InputData[[#This Row],[PRODUCT ID]],MasterData[],5,0)</f>
        <v>148</v>
      </c>
      <c r="L323" s="14">
        <f>InputData[[#This Row],[BUYING PRIZE]]*InputData[[#This Row],[QUANTITY]]</f>
        <v>1628</v>
      </c>
      <c r="M323" s="14">
        <f>InputData[[#This Row],[SELLING PRICE]]*InputData[[#This Row],[QUANTITY]]*(1-InputData[[#This Row],[DISCOUNT %]])</f>
        <v>1628</v>
      </c>
      <c r="N323" s="12">
        <f>DAY(InputData[[#This Row],[DATE]])</f>
        <v>25</v>
      </c>
      <c r="O323" s="12" t="str">
        <f>TEXT(InputData[[#This Row],[DATE]],"mmm")</f>
        <v>Mar</v>
      </c>
      <c r="P323" s="12">
        <f>YEAR(InputData[[#This Row],[DATE]])</f>
        <v>2022</v>
      </c>
      <c r="Q323" s="12"/>
    </row>
    <row r="324" spans="1:17" x14ac:dyDescent="0.3">
      <c r="A324" s="10">
        <v>44649</v>
      </c>
      <c r="B324" s="11" t="s">
        <v>73</v>
      </c>
      <c r="C324" s="12">
        <v>12</v>
      </c>
      <c r="D324" s="12" t="s">
        <v>106</v>
      </c>
      <c r="E324" s="12" t="s">
        <v>106</v>
      </c>
      <c r="F324" s="13">
        <v>0</v>
      </c>
      <c r="G324" s="12" t="str">
        <f>VLOOKUP(InputData[[#This Row],[PRODUCT ID]],MasterData[],2,0)</f>
        <v>Product32</v>
      </c>
      <c r="H324" s="12" t="str">
        <f>VLOOKUP(InputData[[#This Row],[PRODUCT ID]],MasterData[],3,0)</f>
        <v>Category04</v>
      </c>
      <c r="I324" s="12" t="str">
        <f>VLOOKUP(InputData[[#This Row],[PRODUCT ID]],MasterData[],4,0)</f>
        <v>Kg</v>
      </c>
      <c r="J324" s="14">
        <f>VLOOKUP(InputData[[#This Row],[PRODUCT ID]],MasterData[],5,0)</f>
        <v>89</v>
      </c>
      <c r="K324" s="14">
        <f>VLOOKUP(InputData[[#This Row],[PRODUCT ID]],MasterData[],5,0)</f>
        <v>89</v>
      </c>
      <c r="L324" s="14">
        <f>InputData[[#This Row],[BUYING PRIZE]]*InputData[[#This Row],[QUANTITY]]</f>
        <v>1068</v>
      </c>
      <c r="M324" s="14">
        <f>InputData[[#This Row],[SELLING PRICE]]*InputData[[#This Row],[QUANTITY]]*(1-InputData[[#This Row],[DISCOUNT %]])</f>
        <v>1068</v>
      </c>
      <c r="N324" s="12">
        <f>DAY(InputData[[#This Row],[DATE]])</f>
        <v>29</v>
      </c>
      <c r="O324" s="12" t="str">
        <f>TEXT(InputData[[#This Row],[DATE]],"mmm")</f>
        <v>Mar</v>
      </c>
      <c r="P324" s="12">
        <f>YEAR(InputData[[#This Row],[DATE]])</f>
        <v>2022</v>
      </c>
      <c r="Q324" s="12"/>
    </row>
    <row r="325" spans="1:17" x14ac:dyDescent="0.3">
      <c r="A325" s="10">
        <v>44650</v>
      </c>
      <c r="B325" s="11" t="s">
        <v>6</v>
      </c>
      <c r="C325" s="12">
        <v>13</v>
      </c>
      <c r="D325" s="12" t="s">
        <v>106</v>
      </c>
      <c r="E325" s="12" t="s">
        <v>107</v>
      </c>
      <c r="F325" s="13">
        <v>0</v>
      </c>
      <c r="G325" s="12" t="str">
        <f>VLOOKUP(InputData[[#This Row],[PRODUCT ID]],MasterData[],2,0)</f>
        <v>Product01</v>
      </c>
      <c r="H325" s="12" t="str">
        <f>VLOOKUP(InputData[[#This Row],[PRODUCT ID]],MasterData[],3,0)</f>
        <v>Category01</v>
      </c>
      <c r="I325" s="12" t="str">
        <f>VLOOKUP(InputData[[#This Row],[PRODUCT ID]],MasterData[],4,0)</f>
        <v>Kg</v>
      </c>
      <c r="J325" s="14">
        <f>VLOOKUP(InputData[[#This Row],[PRODUCT ID]],MasterData[],5,0)</f>
        <v>98</v>
      </c>
      <c r="K325" s="14">
        <f>VLOOKUP(InputData[[#This Row],[PRODUCT ID]],MasterData[],5,0)</f>
        <v>98</v>
      </c>
      <c r="L325" s="14">
        <f>InputData[[#This Row],[BUYING PRIZE]]*InputData[[#This Row],[QUANTITY]]</f>
        <v>1274</v>
      </c>
      <c r="M325" s="14">
        <f>InputData[[#This Row],[SELLING PRICE]]*InputData[[#This Row],[QUANTITY]]*(1-InputData[[#This Row],[DISCOUNT %]])</f>
        <v>1274</v>
      </c>
      <c r="N325" s="12">
        <f>DAY(InputData[[#This Row],[DATE]])</f>
        <v>30</v>
      </c>
      <c r="O325" s="12" t="str">
        <f>TEXT(InputData[[#This Row],[DATE]],"mmm")</f>
        <v>Mar</v>
      </c>
      <c r="P325" s="12">
        <f>YEAR(InputData[[#This Row],[DATE]])</f>
        <v>2022</v>
      </c>
      <c r="Q325" s="12"/>
    </row>
    <row r="326" spans="1:17" x14ac:dyDescent="0.3">
      <c r="A326" s="10">
        <v>44652</v>
      </c>
      <c r="B326" s="11" t="s">
        <v>10</v>
      </c>
      <c r="C326" s="12">
        <v>2</v>
      </c>
      <c r="D326" s="12" t="s">
        <v>106</v>
      </c>
      <c r="E326" s="12" t="s">
        <v>107</v>
      </c>
      <c r="F326" s="13">
        <v>0</v>
      </c>
      <c r="G326" s="12" t="str">
        <f>VLOOKUP(InputData[[#This Row],[PRODUCT ID]],MasterData[],2,0)</f>
        <v>Product02</v>
      </c>
      <c r="H326" s="12" t="str">
        <f>VLOOKUP(InputData[[#This Row],[PRODUCT ID]],MasterData[],3,0)</f>
        <v>Category01</v>
      </c>
      <c r="I326" s="12" t="str">
        <f>VLOOKUP(InputData[[#This Row],[PRODUCT ID]],MasterData[],4,0)</f>
        <v>Kg</v>
      </c>
      <c r="J326" s="14">
        <f>VLOOKUP(InputData[[#This Row],[PRODUCT ID]],MasterData[],5,0)</f>
        <v>105</v>
      </c>
      <c r="K326" s="14">
        <f>VLOOKUP(InputData[[#This Row],[PRODUCT ID]],MasterData[],5,0)</f>
        <v>105</v>
      </c>
      <c r="L326" s="14">
        <f>InputData[[#This Row],[BUYING PRIZE]]*InputData[[#This Row],[QUANTITY]]</f>
        <v>210</v>
      </c>
      <c r="M326" s="14">
        <f>InputData[[#This Row],[SELLING PRICE]]*InputData[[#This Row],[QUANTITY]]*(1-InputData[[#This Row],[DISCOUNT %]])</f>
        <v>210</v>
      </c>
      <c r="N326" s="12">
        <f>DAY(InputData[[#This Row],[DATE]])</f>
        <v>1</v>
      </c>
      <c r="O326" s="12" t="str">
        <f>TEXT(InputData[[#This Row],[DATE]],"mmm")</f>
        <v>Apr</v>
      </c>
      <c r="P326" s="12">
        <f>YEAR(InputData[[#This Row],[DATE]])</f>
        <v>2022</v>
      </c>
      <c r="Q326" s="12"/>
    </row>
    <row r="327" spans="1:17" x14ac:dyDescent="0.3">
      <c r="A327" s="10">
        <v>44653</v>
      </c>
      <c r="B327" s="11" t="s">
        <v>10</v>
      </c>
      <c r="C327" s="12">
        <v>3</v>
      </c>
      <c r="D327" s="12" t="s">
        <v>108</v>
      </c>
      <c r="E327" s="12" t="s">
        <v>107</v>
      </c>
      <c r="F327" s="13">
        <v>0</v>
      </c>
      <c r="G327" s="12" t="str">
        <f>VLOOKUP(InputData[[#This Row],[PRODUCT ID]],MasterData[],2,0)</f>
        <v>Product02</v>
      </c>
      <c r="H327" s="12" t="str">
        <f>VLOOKUP(InputData[[#This Row],[PRODUCT ID]],MasterData[],3,0)</f>
        <v>Category01</v>
      </c>
      <c r="I327" s="12" t="str">
        <f>VLOOKUP(InputData[[#This Row],[PRODUCT ID]],MasterData[],4,0)</f>
        <v>Kg</v>
      </c>
      <c r="J327" s="14">
        <f>VLOOKUP(InputData[[#This Row],[PRODUCT ID]],MasterData[],5,0)</f>
        <v>105</v>
      </c>
      <c r="K327" s="14">
        <f>VLOOKUP(InputData[[#This Row],[PRODUCT ID]],MasterData[],5,0)</f>
        <v>105</v>
      </c>
      <c r="L327" s="14">
        <f>InputData[[#This Row],[BUYING PRIZE]]*InputData[[#This Row],[QUANTITY]]</f>
        <v>315</v>
      </c>
      <c r="M327" s="14">
        <f>InputData[[#This Row],[SELLING PRICE]]*InputData[[#This Row],[QUANTITY]]*(1-InputData[[#This Row],[DISCOUNT %]])</f>
        <v>315</v>
      </c>
      <c r="N327" s="12">
        <f>DAY(InputData[[#This Row],[DATE]])</f>
        <v>2</v>
      </c>
      <c r="O327" s="12" t="str">
        <f>TEXT(InputData[[#This Row],[DATE]],"mmm")</f>
        <v>Apr</v>
      </c>
      <c r="P327" s="12">
        <f>YEAR(InputData[[#This Row],[DATE]])</f>
        <v>2022</v>
      </c>
      <c r="Q327" s="12"/>
    </row>
    <row r="328" spans="1:17" x14ac:dyDescent="0.3">
      <c r="A328" s="10">
        <v>44657</v>
      </c>
      <c r="B328" s="11" t="s">
        <v>90</v>
      </c>
      <c r="C328" s="12">
        <v>2</v>
      </c>
      <c r="D328" s="12" t="s">
        <v>105</v>
      </c>
      <c r="E328" s="12" t="s">
        <v>107</v>
      </c>
      <c r="F328" s="13">
        <v>0</v>
      </c>
      <c r="G328" s="12" t="str">
        <f>VLOOKUP(InputData[[#This Row],[PRODUCT ID]],MasterData[],2,0)</f>
        <v>Product40</v>
      </c>
      <c r="H328" s="12" t="str">
        <f>VLOOKUP(InputData[[#This Row],[PRODUCT ID]],MasterData[],3,0)</f>
        <v>Category05</v>
      </c>
      <c r="I328" s="12" t="str">
        <f>VLOOKUP(InputData[[#This Row],[PRODUCT ID]],MasterData[],4,0)</f>
        <v>Kg</v>
      </c>
      <c r="J328" s="14">
        <f>VLOOKUP(InputData[[#This Row],[PRODUCT ID]],MasterData[],5,0)</f>
        <v>90</v>
      </c>
      <c r="K328" s="14">
        <f>VLOOKUP(InputData[[#This Row],[PRODUCT ID]],MasterData[],5,0)</f>
        <v>90</v>
      </c>
      <c r="L328" s="14">
        <f>InputData[[#This Row],[BUYING PRIZE]]*InputData[[#This Row],[QUANTITY]]</f>
        <v>180</v>
      </c>
      <c r="M328" s="14">
        <f>InputData[[#This Row],[SELLING PRICE]]*InputData[[#This Row],[QUANTITY]]*(1-InputData[[#This Row],[DISCOUNT %]])</f>
        <v>180</v>
      </c>
      <c r="N328" s="12">
        <f>DAY(InputData[[#This Row],[DATE]])</f>
        <v>6</v>
      </c>
      <c r="O328" s="12" t="str">
        <f>TEXT(InputData[[#This Row],[DATE]],"mmm")</f>
        <v>Apr</v>
      </c>
      <c r="P328" s="12">
        <f>YEAR(InputData[[#This Row],[DATE]])</f>
        <v>2022</v>
      </c>
      <c r="Q328" s="12"/>
    </row>
    <row r="329" spans="1:17" x14ac:dyDescent="0.3">
      <c r="A329" s="10">
        <v>44658</v>
      </c>
      <c r="B329" s="11" t="s">
        <v>60</v>
      </c>
      <c r="C329" s="12">
        <v>7</v>
      </c>
      <c r="D329" s="12" t="s">
        <v>108</v>
      </c>
      <c r="E329" s="12" t="s">
        <v>106</v>
      </c>
      <c r="F329" s="13">
        <v>0</v>
      </c>
      <c r="G329" s="12" t="str">
        <f>VLOOKUP(InputData[[#This Row],[PRODUCT ID]],MasterData[],2,0)</f>
        <v>Product26</v>
      </c>
      <c r="H329" s="12" t="str">
        <f>VLOOKUP(InputData[[#This Row],[PRODUCT ID]],MasterData[],3,0)</f>
        <v>Category04</v>
      </c>
      <c r="I329" s="12" t="str">
        <f>VLOOKUP(InputData[[#This Row],[PRODUCT ID]],MasterData[],4,0)</f>
        <v>No.</v>
      </c>
      <c r="J329" s="14">
        <f>VLOOKUP(InputData[[#This Row],[PRODUCT ID]],MasterData[],5,0)</f>
        <v>18</v>
      </c>
      <c r="K329" s="14">
        <f>VLOOKUP(InputData[[#This Row],[PRODUCT ID]],MasterData[],5,0)</f>
        <v>18</v>
      </c>
      <c r="L329" s="14">
        <f>InputData[[#This Row],[BUYING PRIZE]]*InputData[[#This Row],[QUANTITY]]</f>
        <v>126</v>
      </c>
      <c r="M329" s="14">
        <f>InputData[[#This Row],[SELLING PRICE]]*InputData[[#This Row],[QUANTITY]]*(1-InputData[[#This Row],[DISCOUNT %]])</f>
        <v>126</v>
      </c>
      <c r="N329" s="12">
        <f>DAY(InputData[[#This Row],[DATE]])</f>
        <v>7</v>
      </c>
      <c r="O329" s="12" t="str">
        <f>TEXT(InputData[[#This Row],[DATE]],"mmm")</f>
        <v>Apr</v>
      </c>
      <c r="P329" s="12">
        <f>YEAR(InputData[[#This Row],[DATE]])</f>
        <v>2022</v>
      </c>
      <c r="Q329" s="12"/>
    </row>
    <row r="330" spans="1:17" x14ac:dyDescent="0.3">
      <c r="A330" s="10">
        <v>44660</v>
      </c>
      <c r="B330" s="11" t="s">
        <v>88</v>
      </c>
      <c r="C330" s="12">
        <v>12</v>
      </c>
      <c r="D330" s="12" t="s">
        <v>105</v>
      </c>
      <c r="E330" s="12" t="s">
        <v>107</v>
      </c>
      <c r="F330" s="13">
        <v>0</v>
      </c>
      <c r="G330" s="12" t="str">
        <f>VLOOKUP(InputData[[#This Row],[PRODUCT ID]],MasterData[],2,0)</f>
        <v>Product39</v>
      </c>
      <c r="H330" s="12" t="str">
        <f>VLOOKUP(InputData[[#This Row],[PRODUCT ID]],MasterData[],3,0)</f>
        <v>Category05</v>
      </c>
      <c r="I330" s="12" t="str">
        <f>VLOOKUP(InputData[[#This Row],[PRODUCT ID]],MasterData[],4,0)</f>
        <v>No.</v>
      </c>
      <c r="J330" s="14">
        <f>VLOOKUP(InputData[[#This Row],[PRODUCT ID]],MasterData[],5,0)</f>
        <v>37</v>
      </c>
      <c r="K330" s="14">
        <f>VLOOKUP(InputData[[#This Row],[PRODUCT ID]],MasterData[],5,0)</f>
        <v>37</v>
      </c>
      <c r="L330" s="14">
        <f>InputData[[#This Row],[BUYING PRIZE]]*InputData[[#This Row],[QUANTITY]]</f>
        <v>444</v>
      </c>
      <c r="M330" s="14">
        <f>InputData[[#This Row],[SELLING PRICE]]*InputData[[#This Row],[QUANTITY]]*(1-InputData[[#This Row],[DISCOUNT %]])</f>
        <v>444</v>
      </c>
      <c r="N330" s="12">
        <f>DAY(InputData[[#This Row],[DATE]])</f>
        <v>9</v>
      </c>
      <c r="O330" s="12" t="str">
        <f>TEXT(InputData[[#This Row],[DATE]],"mmm")</f>
        <v>Apr</v>
      </c>
      <c r="P330" s="12">
        <f>YEAR(InputData[[#This Row],[DATE]])</f>
        <v>2022</v>
      </c>
      <c r="Q330" s="12"/>
    </row>
    <row r="331" spans="1:17" x14ac:dyDescent="0.3">
      <c r="A331" s="10">
        <v>44660</v>
      </c>
      <c r="B331" s="11" t="s">
        <v>10</v>
      </c>
      <c r="C331" s="12">
        <v>9</v>
      </c>
      <c r="D331" s="12" t="s">
        <v>106</v>
      </c>
      <c r="E331" s="12" t="s">
        <v>106</v>
      </c>
      <c r="F331" s="13">
        <v>0</v>
      </c>
      <c r="G331" s="12" t="str">
        <f>VLOOKUP(InputData[[#This Row],[PRODUCT ID]],MasterData[],2,0)</f>
        <v>Product02</v>
      </c>
      <c r="H331" s="12" t="str">
        <f>VLOOKUP(InputData[[#This Row],[PRODUCT ID]],MasterData[],3,0)</f>
        <v>Category01</v>
      </c>
      <c r="I331" s="12" t="str">
        <f>VLOOKUP(InputData[[#This Row],[PRODUCT ID]],MasterData[],4,0)</f>
        <v>Kg</v>
      </c>
      <c r="J331" s="14">
        <f>VLOOKUP(InputData[[#This Row],[PRODUCT ID]],MasterData[],5,0)</f>
        <v>105</v>
      </c>
      <c r="K331" s="14">
        <f>VLOOKUP(InputData[[#This Row],[PRODUCT ID]],MasterData[],5,0)</f>
        <v>105</v>
      </c>
      <c r="L331" s="14">
        <f>InputData[[#This Row],[BUYING PRIZE]]*InputData[[#This Row],[QUANTITY]]</f>
        <v>945</v>
      </c>
      <c r="M331" s="14">
        <f>InputData[[#This Row],[SELLING PRICE]]*InputData[[#This Row],[QUANTITY]]*(1-InputData[[#This Row],[DISCOUNT %]])</f>
        <v>945</v>
      </c>
      <c r="N331" s="12">
        <f>DAY(InputData[[#This Row],[DATE]])</f>
        <v>9</v>
      </c>
      <c r="O331" s="12" t="str">
        <f>TEXT(InputData[[#This Row],[DATE]],"mmm")</f>
        <v>Apr</v>
      </c>
      <c r="P331" s="12">
        <f>YEAR(InputData[[#This Row],[DATE]])</f>
        <v>2022</v>
      </c>
      <c r="Q331" s="12"/>
    </row>
    <row r="332" spans="1:17" x14ac:dyDescent="0.3">
      <c r="A332" s="10">
        <v>44664</v>
      </c>
      <c r="B332" s="11" t="s">
        <v>39</v>
      </c>
      <c r="C332" s="12">
        <v>14</v>
      </c>
      <c r="D332" s="12" t="s">
        <v>105</v>
      </c>
      <c r="E332" s="12" t="s">
        <v>106</v>
      </c>
      <c r="F332" s="13">
        <v>0</v>
      </c>
      <c r="G332" s="12" t="str">
        <f>VLOOKUP(InputData[[#This Row],[PRODUCT ID]],MasterData[],2,0)</f>
        <v>Product16</v>
      </c>
      <c r="H332" s="12" t="str">
        <f>VLOOKUP(InputData[[#This Row],[PRODUCT ID]],MasterData[],3,0)</f>
        <v>Category02</v>
      </c>
      <c r="I332" s="12" t="str">
        <f>VLOOKUP(InputData[[#This Row],[PRODUCT ID]],MasterData[],4,0)</f>
        <v>No.</v>
      </c>
      <c r="J332" s="14">
        <f>VLOOKUP(InputData[[#This Row],[PRODUCT ID]],MasterData[],5,0)</f>
        <v>13</v>
      </c>
      <c r="K332" s="14">
        <f>VLOOKUP(InputData[[#This Row],[PRODUCT ID]],MasterData[],5,0)</f>
        <v>13</v>
      </c>
      <c r="L332" s="14">
        <f>InputData[[#This Row],[BUYING PRIZE]]*InputData[[#This Row],[QUANTITY]]</f>
        <v>182</v>
      </c>
      <c r="M332" s="14">
        <f>InputData[[#This Row],[SELLING PRICE]]*InputData[[#This Row],[QUANTITY]]*(1-InputData[[#This Row],[DISCOUNT %]])</f>
        <v>182</v>
      </c>
      <c r="N332" s="12">
        <f>DAY(InputData[[#This Row],[DATE]])</f>
        <v>13</v>
      </c>
      <c r="O332" s="12" t="str">
        <f>TEXT(InputData[[#This Row],[DATE]],"mmm")</f>
        <v>Apr</v>
      </c>
      <c r="P332" s="12">
        <f>YEAR(InputData[[#This Row],[DATE]])</f>
        <v>2022</v>
      </c>
      <c r="Q332" s="12"/>
    </row>
    <row r="333" spans="1:17" x14ac:dyDescent="0.3">
      <c r="A333" s="10">
        <v>44669</v>
      </c>
      <c r="B333" s="11" t="s">
        <v>92</v>
      </c>
      <c r="C333" s="12">
        <v>9</v>
      </c>
      <c r="D333" s="12" t="s">
        <v>108</v>
      </c>
      <c r="E333" s="12" t="s">
        <v>107</v>
      </c>
      <c r="F333" s="13">
        <v>0</v>
      </c>
      <c r="G333" s="12" t="str">
        <f>VLOOKUP(InputData[[#This Row],[PRODUCT ID]],MasterData[],2,0)</f>
        <v>Product41</v>
      </c>
      <c r="H333" s="12" t="str">
        <f>VLOOKUP(InputData[[#This Row],[PRODUCT ID]],MasterData[],3,0)</f>
        <v>Category05</v>
      </c>
      <c r="I333" s="12" t="str">
        <f>VLOOKUP(InputData[[#This Row],[PRODUCT ID]],MasterData[],4,0)</f>
        <v>Ft</v>
      </c>
      <c r="J333" s="14">
        <f>VLOOKUP(InputData[[#This Row],[PRODUCT ID]],MasterData[],5,0)</f>
        <v>138</v>
      </c>
      <c r="K333" s="14">
        <f>VLOOKUP(InputData[[#This Row],[PRODUCT ID]],MasterData[],5,0)</f>
        <v>138</v>
      </c>
      <c r="L333" s="14">
        <f>InputData[[#This Row],[BUYING PRIZE]]*InputData[[#This Row],[QUANTITY]]</f>
        <v>1242</v>
      </c>
      <c r="M333" s="14">
        <f>InputData[[#This Row],[SELLING PRICE]]*InputData[[#This Row],[QUANTITY]]*(1-InputData[[#This Row],[DISCOUNT %]])</f>
        <v>1242</v>
      </c>
      <c r="N333" s="12">
        <f>DAY(InputData[[#This Row],[DATE]])</f>
        <v>18</v>
      </c>
      <c r="O333" s="12" t="str">
        <f>TEXT(InputData[[#This Row],[DATE]],"mmm")</f>
        <v>Apr</v>
      </c>
      <c r="P333" s="12">
        <f>YEAR(InputData[[#This Row],[DATE]])</f>
        <v>2022</v>
      </c>
      <c r="Q333" s="12"/>
    </row>
    <row r="334" spans="1:17" x14ac:dyDescent="0.3">
      <c r="A334" s="10">
        <v>44671</v>
      </c>
      <c r="B334" s="11" t="s">
        <v>43</v>
      </c>
      <c r="C334" s="12">
        <v>2</v>
      </c>
      <c r="D334" s="12" t="s">
        <v>105</v>
      </c>
      <c r="E334" s="12" t="s">
        <v>106</v>
      </c>
      <c r="F334" s="13">
        <v>0</v>
      </c>
      <c r="G334" s="12" t="str">
        <f>VLOOKUP(InputData[[#This Row],[PRODUCT ID]],MasterData[],2,0)</f>
        <v>Product18</v>
      </c>
      <c r="H334" s="12" t="str">
        <f>VLOOKUP(InputData[[#This Row],[PRODUCT ID]],MasterData[],3,0)</f>
        <v>Category02</v>
      </c>
      <c r="I334" s="12" t="str">
        <f>VLOOKUP(InputData[[#This Row],[PRODUCT ID]],MasterData[],4,0)</f>
        <v>No.</v>
      </c>
      <c r="J334" s="14">
        <f>VLOOKUP(InputData[[#This Row],[PRODUCT ID]],MasterData[],5,0)</f>
        <v>37</v>
      </c>
      <c r="K334" s="14">
        <f>VLOOKUP(InputData[[#This Row],[PRODUCT ID]],MasterData[],5,0)</f>
        <v>37</v>
      </c>
      <c r="L334" s="14">
        <f>InputData[[#This Row],[BUYING PRIZE]]*InputData[[#This Row],[QUANTITY]]</f>
        <v>74</v>
      </c>
      <c r="M334" s="14">
        <f>InputData[[#This Row],[SELLING PRICE]]*InputData[[#This Row],[QUANTITY]]*(1-InputData[[#This Row],[DISCOUNT %]])</f>
        <v>74</v>
      </c>
      <c r="N334" s="12">
        <f>DAY(InputData[[#This Row],[DATE]])</f>
        <v>20</v>
      </c>
      <c r="O334" s="12" t="str">
        <f>TEXT(InputData[[#This Row],[DATE]],"mmm")</f>
        <v>Apr</v>
      </c>
      <c r="P334" s="12">
        <f>YEAR(InputData[[#This Row],[DATE]])</f>
        <v>2022</v>
      </c>
      <c r="Q334" s="12"/>
    </row>
    <row r="335" spans="1:17" x14ac:dyDescent="0.3">
      <c r="A335" s="10">
        <v>44671</v>
      </c>
      <c r="B335" s="11" t="s">
        <v>31</v>
      </c>
      <c r="C335" s="12">
        <v>4</v>
      </c>
      <c r="D335" s="12" t="s">
        <v>108</v>
      </c>
      <c r="E335" s="12" t="s">
        <v>106</v>
      </c>
      <c r="F335" s="13">
        <v>0</v>
      </c>
      <c r="G335" s="12" t="str">
        <f>VLOOKUP(InputData[[#This Row],[PRODUCT ID]],MasterData[],2,0)</f>
        <v>Product12</v>
      </c>
      <c r="H335" s="12" t="str">
        <f>VLOOKUP(InputData[[#This Row],[PRODUCT ID]],MasterData[],3,0)</f>
        <v>Category02</v>
      </c>
      <c r="I335" s="12" t="str">
        <f>VLOOKUP(InputData[[#This Row],[PRODUCT ID]],MasterData[],4,0)</f>
        <v>Kg</v>
      </c>
      <c r="J335" s="14">
        <f>VLOOKUP(InputData[[#This Row],[PRODUCT ID]],MasterData[],5,0)</f>
        <v>73</v>
      </c>
      <c r="K335" s="14">
        <f>VLOOKUP(InputData[[#This Row],[PRODUCT ID]],MasterData[],5,0)</f>
        <v>73</v>
      </c>
      <c r="L335" s="14">
        <f>InputData[[#This Row],[BUYING PRIZE]]*InputData[[#This Row],[QUANTITY]]</f>
        <v>292</v>
      </c>
      <c r="M335" s="14">
        <f>InputData[[#This Row],[SELLING PRICE]]*InputData[[#This Row],[QUANTITY]]*(1-InputData[[#This Row],[DISCOUNT %]])</f>
        <v>292</v>
      </c>
      <c r="N335" s="12">
        <f>DAY(InputData[[#This Row],[DATE]])</f>
        <v>20</v>
      </c>
      <c r="O335" s="12" t="str">
        <f>TEXT(InputData[[#This Row],[DATE]],"mmm")</f>
        <v>Apr</v>
      </c>
      <c r="P335" s="12">
        <f>YEAR(InputData[[#This Row],[DATE]])</f>
        <v>2022</v>
      </c>
      <c r="Q335" s="12"/>
    </row>
    <row r="336" spans="1:17" x14ac:dyDescent="0.3">
      <c r="A336" s="10">
        <v>44672</v>
      </c>
      <c r="B336" s="11" t="s">
        <v>69</v>
      </c>
      <c r="C336" s="12">
        <v>2</v>
      </c>
      <c r="D336" s="12" t="s">
        <v>108</v>
      </c>
      <c r="E336" s="12" t="s">
        <v>107</v>
      </c>
      <c r="F336" s="13">
        <v>0</v>
      </c>
      <c r="G336" s="12" t="str">
        <f>VLOOKUP(InputData[[#This Row],[PRODUCT ID]],MasterData[],2,0)</f>
        <v>Product30</v>
      </c>
      <c r="H336" s="12" t="str">
        <f>VLOOKUP(InputData[[#This Row],[PRODUCT ID]],MasterData[],3,0)</f>
        <v>Category04</v>
      </c>
      <c r="I336" s="12" t="str">
        <f>VLOOKUP(InputData[[#This Row],[PRODUCT ID]],MasterData[],4,0)</f>
        <v>Ft</v>
      </c>
      <c r="J336" s="14">
        <f>VLOOKUP(InputData[[#This Row],[PRODUCT ID]],MasterData[],5,0)</f>
        <v>148</v>
      </c>
      <c r="K336" s="14">
        <f>VLOOKUP(InputData[[#This Row],[PRODUCT ID]],MasterData[],5,0)</f>
        <v>148</v>
      </c>
      <c r="L336" s="14">
        <f>InputData[[#This Row],[BUYING PRIZE]]*InputData[[#This Row],[QUANTITY]]</f>
        <v>296</v>
      </c>
      <c r="M336" s="14">
        <f>InputData[[#This Row],[SELLING PRICE]]*InputData[[#This Row],[QUANTITY]]*(1-InputData[[#This Row],[DISCOUNT %]])</f>
        <v>296</v>
      </c>
      <c r="N336" s="12">
        <f>DAY(InputData[[#This Row],[DATE]])</f>
        <v>21</v>
      </c>
      <c r="O336" s="12" t="str">
        <f>TEXT(InputData[[#This Row],[DATE]],"mmm")</f>
        <v>Apr</v>
      </c>
      <c r="P336" s="12">
        <f>YEAR(InputData[[#This Row],[DATE]])</f>
        <v>2022</v>
      </c>
      <c r="Q336" s="12"/>
    </row>
    <row r="337" spans="1:17" x14ac:dyDescent="0.3">
      <c r="A337" s="10">
        <v>44672</v>
      </c>
      <c r="B337" s="11" t="s">
        <v>60</v>
      </c>
      <c r="C337" s="12">
        <v>14</v>
      </c>
      <c r="D337" s="12" t="s">
        <v>106</v>
      </c>
      <c r="E337" s="12" t="s">
        <v>106</v>
      </c>
      <c r="F337" s="13">
        <v>0</v>
      </c>
      <c r="G337" s="12" t="str">
        <f>VLOOKUP(InputData[[#This Row],[PRODUCT ID]],MasterData[],2,0)</f>
        <v>Product26</v>
      </c>
      <c r="H337" s="12" t="str">
        <f>VLOOKUP(InputData[[#This Row],[PRODUCT ID]],MasterData[],3,0)</f>
        <v>Category04</v>
      </c>
      <c r="I337" s="12" t="str">
        <f>VLOOKUP(InputData[[#This Row],[PRODUCT ID]],MasterData[],4,0)</f>
        <v>No.</v>
      </c>
      <c r="J337" s="14">
        <f>VLOOKUP(InputData[[#This Row],[PRODUCT ID]],MasterData[],5,0)</f>
        <v>18</v>
      </c>
      <c r="K337" s="14">
        <f>VLOOKUP(InputData[[#This Row],[PRODUCT ID]],MasterData[],5,0)</f>
        <v>18</v>
      </c>
      <c r="L337" s="14">
        <f>InputData[[#This Row],[BUYING PRIZE]]*InputData[[#This Row],[QUANTITY]]</f>
        <v>252</v>
      </c>
      <c r="M337" s="14">
        <f>InputData[[#This Row],[SELLING PRICE]]*InputData[[#This Row],[QUANTITY]]*(1-InputData[[#This Row],[DISCOUNT %]])</f>
        <v>252</v>
      </c>
      <c r="N337" s="12">
        <f>DAY(InputData[[#This Row],[DATE]])</f>
        <v>21</v>
      </c>
      <c r="O337" s="12" t="str">
        <f>TEXT(InputData[[#This Row],[DATE]],"mmm")</f>
        <v>Apr</v>
      </c>
      <c r="P337" s="12">
        <f>YEAR(InputData[[#This Row],[DATE]])</f>
        <v>2022</v>
      </c>
      <c r="Q337" s="12"/>
    </row>
    <row r="338" spans="1:17" x14ac:dyDescent="0.3">
      <c r="A338" s="10">
        <v>44674</v>
      </c>
      <c r="B338" s="11" t="s">
        <v>98</v>
      </c>
      <c r="C338" s="12">
        <v>15</v>
      </c>
      <c r="D338" s="12" t="s">
        <v>106</v>
      </c>
      <c r="E338" s="12" t="s">
        <v>106</v>
      </c>
      <c r="F338" s="13">
        <v>0</v>
      </c>
      <c r="G338" s="12" t="str">
        <f>VLOOKUP(InputData[[#This Row],[PRODUCT ID]],MasterData[],2,0)</f>
        <v>Product44</v>
      </c>
      <c r="H338" s="12" t="str">
        <f>VLOOKUP(InputData[[#This Row],[PRODUCT ID]],MasterData[],3,0)</f>
        <v>Category05</v>
      </c>
      <c r="I338" s="12" t="str">
        <f>VLOOKUP(InputData[[#This Row],[PRODUCT ID]],MasterData[],4,0)</f>
        <v>Kg</v>
      </c>
      <c r="J338" s="14">
        <f>VLOOKUP(InputData[[#This Row],[PRODUCT ID]],MasterData[],5,0)</f>
        <v>76</v>
      </c>
      <c r="K338" s="14">
        <f>VLOOKUP(InputData[[#This Row],[PRODUCT ID]],MasterData[],5,0)</f>
        <v>76</v>
      </c>
      <c r="L338" s="14">
        <f>InputData[[#This Row],[BUYING PRIZE]]*InputData[[#This Row],[QUANTITY]]</f>
        <v>1140</v>
      </c>
      <c r="M338" s="14">
        <f>InputData[[#This Row],[SELLING PRICE]]*InputData[[#This Row],[QUANTITY]]*(1-InputData[[#This Row],[DISCOUNT %]])</f>
        <v>1140</v>
      </c>
      <c r="N338" s="12">
        <f>DAY(InputData[[#This Row],[DATE]])</f>
        <v>23</v>
      </c>
      <c r="O338" s="12" t="str">
        <f>TEXT(InputData[[#This Row],[DATE]],"mmm")</f>
        <v>Apr</v>
      </c>
      <c r="P338" s="12">
        <f>YEAR(InputData[[#This Row],[DATE]])</f>
        <v>2022</v>
      </c>
      <c r="Q338" s="12"/>
    </row>
    <row r="339" spans="1:17" x14ac:dyDescent="0.3">
      <c r="A339" s="10">
        <v>44675</v>
      </c>
      <c r="B339" s="11" t="s">
        <v>77</v>
      </c>
      <c r="C339" s="12">
        <v>4</v>
      </c>
      <c r="D339" s="12" t="s">
        <v>108</v>
      </c>
      <c r="E339" s="12" t="s">
        <v>106</v>
      </c>
      <c r="F339" s="13">
        <v>0</v>
      </c>
      <c r="G339" s="12" t="str">
        <f>VLOOKUP(InputData[[#This Row],[PRODUCT ID]],MasterData[],2,0)</f>
        <v>Product34</v>
      </c>
      <c r="H339" s="12" t="str">
        <f>VLOOKUP(InputData[[#This Row],[PRODUCT ID]],MasterData[],3,0)</f>
        <v>Category04</v>
      </c>
      <c r="I339" s="12" t="str">
        <f>VLOOKUP(InputData[[#This Row],[PRODUCT ID]],MasterData[],4,0)</f>
        <v>Lt</v>
      </c>
      <c r="J339" s="14">
        <f>VLOOKUP(InputData[[#This Row],[PRODUCT ID]],MasterData[],5,0)</f>
        <v>55</v>
      </c>
      <c r="K339" s="14">
        <f>VLOOKUP(InputData[[#This Row],[PRODUCT ID]],MasterData[],5,0)</f>
        <v>55</v>
      </c>
      <c r="L339" s="14">
        <f>InputData[[#This Row],[BUYING PRIZE]]*InputData[[#This Row],[QUANTITY]]</f>
        <v>220</v>
      </c>
      <c r="M339" s="14">
        <f>InputData[[#This Row],[SELLING PRICE]]*InputData[[#This Row],[QUANTITY]]*(1-InputData[[#This Row],[DISCOUNT %]])</f>
        <v>220</v>
      </c>
      <c r="N339" s="12">
        <f>DAY(InputData[[#This Row],[DATE]])</f>
        <v>24</v>
      </c>
      <c r="O339" s="12" t="str">
        <f>TEXT(InputData[[#This Row],[DATE]],"mmm")</f>
        <v>Apr</v>
      </c>
      <c r="P339" s="12">
        <f>YEAR(InputData[[#This Row],[DATE]])</f>
        <v>2022</v>
      </c>
      <c r="Q339" s="12"/>
    </row>
    <row r="340" spans="1:17" x14ac:dyDescent="0.3">
      <c r="A340" s="10">
        <v>44676</v>
      </c>
      <c r="B340" s="11" t="s">
        <v>14</v>
      </c>
      <c r="C340" s="12">
        <v>9</v>
      </c>
      <c r="D340" s="12" t="s">
        <v>108</v>
      </c>
      <c r="E340" s="12" t="s">
        <v>107</v>
      </c>
      <c r="F340" s="13">
        <v>0</v>
      </c>
      <c r="G340" s="12" t="str">
        <f>VLOOKUP(InputData[[#This Row],[PRODUCT ID]],MasterData[],2,0)</f>
        <v>Product04</v>
      </c>
      <c r="H340" s="12" t="str">
        <f>VLOOKUP(InputData[[#This Row],[PRODUCT ID]],MasterData[],3,0)</f>
        <v>Category01</v>
      </c>
      <c r="I340" s="12" t="str">
        <f>VLOOKUP(InputData[[#This Row],[PRODUCT ID]],MasterData[],4,0)</f>
        <v>Lt</v>
      </c>
      <c r="J340" s="14">
        <f>VLOOKUP(InputData[[#This Row],[PRODUCT ID]],MasterData[],5,0)</f>
        <v>44</v>
      </c>
      <c r="K340" s="14">
        <f>VLOOKUP(InputData[[#This Row],[PRODUCT ID]],MasterData[],5,0)</f>
        <v>44</v>
      </c>
      <c r="L340" s="14">
        <f>InputData[[#This Row],[BUYING PRIZE]]*InputData[[#This Row],[QUANTITY]]</f>
        <v>396</v>
      </c>
      <c r="M340" s="14">
        <f>InputData[[#This Row],[SELLING PRICE]]*InputData[[#This Row],[QUANTITY]]*(1-InputData[[#This Row],[DISCOUNT %]])</f>
        <v>396</v>
      </c>
      <c r="N340" s="12">
        <f>DAY(InputData[[#This Row],[DATE]])</f>
        <v>25</v>
      </c>
      <c r="O340" s="12" t="str">
        <f>TEXT(InputData[[#This Row],[DATE]],"mmm")</f>
        <v>Apr</v>
      </c>
      <c r="P340" s="12">
        <f>YEAR(InputData[[#This Row],[DATE]])</f>
        <v>2022</v>
      </c>
      <c r="Q340" s="12"/>
    </row>
    <row r="341" spans="1:17" x14ac:dyDescent="0.3">
      <c r="A341" s="10">
        <v>44676</v>
      </c>
      <c r="B341" s="11" t="s">
        <v>12</v>
      </c>
      <c r="C341" s="12">
        <v>8</v>
      </c>
      <c r="D341" s="12" t="s">
        <v>106</v>
      </c>
      <c r="E341" s="12" t="s">
        <v>106</v>
      </c>
      <c r="F341" s="13">
        <v>0</v>
      </c>
      <c r="G341" s="12" t="str">
        <f>VLOOKUP(InputData[[#This Row],[PRODUCT ID]],MasterData[],2,0)</f>
        <v>Product03</v>
      </c>
      <c r="H341" s="12" t="str">
        <f>VLOOKUP(InputData[[#This Row],[PRODUCT ID]],MasterData[],3,0)</f>
        <v>Category01</v>
      </c>
      <c r="I341" s="12" t="str">
        <f>VLOOKUP(InputData[[#This Row],[PRODUCT ID]],MasterData[],4,0)</f>
        <v>Kg</v>
      </c>
      <c r="J341" s="14">
        <f>VLOOKUP(InputData[[#This Row],[PRODUCT ID]],MasterData[],5,0)</f>
        <v>71</v>
      </c>
      <c r="K341" s="14">
        <f>VLOOKUP(InputData[[#This Row],[PRODUCT ID]],MasterData[],5,0)</f>
        <v>71</v>
      </c>
      <c r="L341" s="14">
        <f>InputData[[#This Row],[BUYING PRIZE]]*InputData[[#This Row],[QUANTITY]]</f>
        <v>568</v>
      </c>
      <c r="M341" s="14">
        <f>InputData[[#This Row],[SELLING PRICE]]*InputData[[#This Row],[QUANTITY]]*(1-InputData[[#This Row],[DISCOUNT %]])</f>
        <v>568</v>
      </c>
      <c r="N341" s="12">
        <f>DAY(InputData[[#This Row],[DATE]])</f>
        <v>25</v>
      </c>
      <c r="O341" s="12" t="str">
        <f>TEXT(InputData[[#This Row],[DATE]],"mmm")</f>
        <v>Apr</v>
      </c>
      <c r="P341" s="12">
        <f>YEAR(InputData[[#This Row],[DATE]])</f>
        <v>2022</v>
      </c>
      <c r="Q341" s="12"/>
    </row>
    <row r="342" spans="1:17" x14ac:dyDescent="0.3">
      <c r="A342" s="10">
        <v>44677</v>
      </c>
      <c r="B342" s="11" t="s">
        <v>63</v>
      </c>
      <c r="C342" s="12">
        <v>2</v>
      </c>
      <c r="D342" s="12" t="s">
        <v>108</v>
      </c>
      <c r="E342" s="12" t="s">
        <v>107</v>
      </c>
      <c r="F342" s="13">
        <v>0</v>
      </c>
      <c r="G342" s="12" t="str">
        <f>VLOOKUP(InputData[[#This Row],[PRODUCT ID]],MasterData[],2,0)</f>
        <v>Product27</v>
      </c>
      <c r="H342" s="12" t="str">
        <f>VLOOKUP(InputData[[#This Row],[PRODUCT ID]],MasterData[],3,0)</f>
        <v>Category04</v>
      </c>
      <c r="I342" s="12" t="str">
        <f>VLOOKUP(InputData[[#This Row],[PRODUCT ID]],MasterData[],4,0)</f>
        <v>Lt</v>
      </c>
      <c r="J342" s="14">
        <f>VLOOKUP(InputData[[#This Row],[PRODUCT ID]],MasterData[],5,0)</f>
        <v>48</v>
      </c>
      <c r="K342" s="14">
        <f>VLOOKUP(InputData[[#This Row],[PRODUCT ID]],MasterData[],5,0)</f>
        <v>48</v>
      </c>
      <c r="L342" s="14">
        <f>InputData[[#This Row],[BUYING PRIZE]]*InputData[[#This Row],[QUANTITY]]</f>
        <v>96</v>
      </c>
      <c r="M342" s="14">
        <f>InputData[[#This Row],[SELLING PRICE]]*InputData[[#This Row],[QUANTITY]]*(1-InputData[[#This Row],[DISCOUNT %]])</f>
        <v>96</v>
      </c>
      <c r="N342" s="12">
        <f>DAY(InputData[[#This Row],[DATE]])</f>
        <v>26</v>
      </c>
      <c r="O342" s="12" t="str">
        <f>TEXT(InputData[[#This Row],[DATE]],"mmm")</f>
        <v>Apr</v>
      </c>
      <c r="P342" s="12">
        <f>YEAR(InputData[[#This Row],[DATE]])</f>
        <v>2022</v>
      </c>
      <c r="Q342" s="12"/>
    </row>
    <row r="343" spans="1:17" x14ac:dyDescent="0.3">
      <c r="A343" s="10">
        <v>44679</v>
      </c>
      <c r="B343" s="11" t="s">
        <v>35</v>
      </c>
      <c r="C343" s="12">
        <v>14</v>
      </c>
      <c r="D343" s="12" t="s">
        <v>108</v>
      </c>
      <c r="E343" s="12" t="s">
        <v>107</v>
      </c>
      <c r="F343" s="13">
        <v>0</v>
      </c>
      <c r="G343" s="12" t="str">
        <f>VLOOKUP(InputData[[#This Row],[PRODUCT ID]],MasterData[],2,0)</f>
        <v>Product14</v>
      </c>
      <c r="H343" s="12" t="str">
        <f>VLOOKUP(InputData[[#This Row],[PRODUCT ID]],MasterData[],3,0)</f>
        <v>Category02</v>
      </c>
      <c r="I343" s="12" t="str">
        <f>VLOOKUP(InputData[[#This Row],[PRODUCT ID]],MasterData[],4,0)</f>
        <v>Kg</v>
      </c>
      <c r="J343" s="14">
        <f>VLOOKUP(InputData[[#This Row],[PRODUCT ID]],MasterData[],5,0)</f>
        <v>112</v>
      </c>
      <c r="K343" s="14">
        <f>VLOOKUP(InputData[[#This Row],[PRODUCT ID]],MasterData[],5,0)</f>
        <v>112</v>
      </c>
      <c r="L343" s="14">
        <f>InputData[[#This Row],[BUYING PRIZE]]*InputData[[#This Row],[QUANTITY]]</f>
        <v>1568</v>
      </c>
      <c r="M343" s="14">
        <f>InputData[[#This Row],[SELLING PRICE]]*InputData[[#This Row],[QUANTITY]]*(1-InputData[[#This Row],[DISCOUNT %]])</f>
        <v>1568</v>
      </c>
      <c r="N343" s="12">
        <f>DAY(InputData[[#This Row],[DATE]])</f>
        <v>28</v>
      </c>
      <c r="O343" s="12" t="str">
        <f>TEXT(InputData[[#This Row],[DATE]],"mmm")</f>
        <v>Apr</v>
      </c>
      <c r="P343" s="12">
        <f>YEAR(InputData[[#This Row],[DATE]])</f>
        <v>2022</v>
      </c>
      <c r="Q343" s="12"/>
    </row>
    <row r="344" spans="1:17" x14ac:dyDescent="0.3">
      <c r="A344" s="10">
        <v>44681</v>
      </c>
      <c r="B344" s="11" t="s">
        <v>39</v>
      </c>
      <c r="C344" s="12">
        <v>13</v>
      </c>
      <c r="D344" s="12" t="s">
        <v>106</v>
      </c>
      <c r="E344" s="12" t="s">
        <v>106</v>
      </c>
      <c r="F344" s="13">
        <v>0</v>
      </c>
      <c r="G344" s="12" t="str">
        <f>VLOOKUP(InputData[[#This Row],[PRODUCT ID]],MasterData[],2,0)</f>
        <v>Product16</v>
      </c>
      <c r="H344" s="12" t="str">
        <f>VLOOKUP(InputData[[#This Row],[PRODUCT ID]],MasterData[],3,0)</f>
        <v>Category02</v>
      </c>
      <c r="I344" s="12" t="str">
        <f>VLOOKUP(InputData[[#This Row],[PRODUCT ID]],MasterData[],4,0)</f>
        <v>No.</v>
      </c>
      <c r="J344" s="14">
        <f>VLOOKUP(InputData[[#This Row],[PRODUCT ID]],MasterData[],5,0)</f>
        <v>13</v>
      </c>
      <c r="K344" s="14">
        <f>VLOOKUP(InputData[[#This Row],[PRODUCT ID]],MasterData[],5,0)</f>
        <v>13</v>
      </c>
      <c r="L344" s="14">
        <f>InputData[[#This Row],[BUYING PRIZE]]*InputData[[#This Row],[QUANTITY]]</f>
        <v>169</v>
      </c>
      <c r="M344" s="14">
        <f>InputData[[#This Row],[SELLING PRICE]]*InputData[[#This Row],[QUANTITY]]*(1-InputData[[#This Row],[DISCOUNT %]])</f>
        <v>169</v>
      </c>
      <c r="N344" s="12">
        <f>DAY(InputData[[#This Row],[DATE]])</f>
        <v>30</v>
      </c>
      <c r="O344" s="12" t="str">
        <f>TEXT(InputData[[#This Row],[DATE]],"mmm")</f>
        <v>Apr</v>
      </c>
      <c r="P344" s="12">
        <f>YEAR(InputData[[#This Row],[DATE]])</f>
        <v>2022</v>
      </c>
      <c r="Q344" s="12"/>
    </row>
    <row r="345" spans="1:17" x14ac:dyDescent="0.3">
      <c r="A345" s="10">
        <v>44681</v>
      </c>
      <c r="B345" s="11" t="s">
        <v>63</v>
      </c>
      <c r="C345" s="12">
        <v>8</v>
      </c>
      <c r="D345" s="12" t="s">
        <v>108</v>
      </c>
      <c r="E345" s="12" t="s">
        <v>106</v>
      </c>
      <c r="F345" s="13">
        <v>0</v>
      </c>
      <c r="G345" s="12" t="str">
        <f>VLOOKUP(InputData[[#This Row],[PRODUCT ID]],MasterData[],2,0)</f>
        <v>Product27</v>
      </c>
      <c r="H345" s="12" t="str">
        <f>VLOOKUP(InputData[[#This Row],[PRODUCT ID]],MasterData[],3,0)</f>
        <v>Category04</v>
      </c>
      <c r="I345" s="12" t="str">
        <f>VLOOKUP(InputData[[#This Row],[PRODUCT ID]],MasterData[],4,0)</f>
        <v>Lt</v>
      </c>
      <c r="J345" s="14">
        <f>VLOOKUP(InputData[[#This Row],[PRODUCT ID]],MasterData[],5,0)</f>
        <v>48</v>
      </c>
      <c r="K345" s="14">
        <f>VLOOKUP(InputData[[#This Row],[PRODUCT ID]],MasterData[],5,0)</f>
        <v>48</v>
      </c>
      <c r="L345" s="14">
        <f>InputData[[#This Row],[BUYING PRIZE]]*InputData[[#This Row],[QUANTITY]]</f>
        <v>384</v>
      </c>
      <c r="M345" s="14">
        <f>InputData[[#This Row],[SELLING PRICE]]*InputData[[#This Row],[QUANTITY]]*(1-InputData[[#This Row],[DISCOUNT %]])</f>
        <v>384</v>
      </c>
      <c r="N345" s="12">
        <f>DAY(InputData[[#This Row],[DATE]])</f>
        <v>30</v>
      </c>
      <c r="O345" s="12" t="str">
        <f>TEXT(InputData[[#This Row],[DATE]],"mmm")</f>
        <v>Apr</v>
      </c>
      <c r="P345" s="12">
        <f>YEAR(InputData[[#This Row],[DATE]])</f>
        <v>2022</v>
      </c>
      <c r="Q345" s="12"/>
    </row>
    <row r="346" spans="1:17" x14ac:dyDescent="0.3">
      <c r="A346" s="10">
        <v>44682</v>
      </c>
      <c r="B346" s="11" t="s">
        <v>77</v>
      </c>
      <c r="C346" s="12">
        <v>9</v>
      </c>
      <c r="D346" s="12" t="s">
        <v>105</v>
      </c>
      <c r="E346" s="12" t="s">
        <v>106</v>
      </c>
      <c r="F346" s="13">
        <v>0</v>
      </c>
      <c r="G346" s="12" t="str">
        <f>VLOOKUP(InputData[[#This Row],[PRODUCT ID]],MasterData[],2,0)</f>
        <v>Product34</v>
      </c>
      <c r="H346" s="12" t="str">
        <f>VLOOKUP(InputData[[#This Row],[PRODUCT ID]],MasterData[],3,0)</f>
        <v>Category04</v>
      </c>
      <c r="I346" s="12" t="str">
        <f>VLOOKUP(InputData[[#This Row],[PRODUCT ID]],MasterData[],4,0)</f>
        <v>Lt</v>
      </c>
      <c r="J346" s="14">
        <f>VLOOKUP(InputData[[#This Row],[PRODUCT ID]],MasterData[],5,0)</f>
        <v>55</v>
      </c>
      <c r="K346" s="14">
        <f>VLOOKUP(InputData[[#This Row],[PRODUCT ID]],MasterData[],5,0)</f>
        <v>55</v>
      </c>
      <c r="L346" s="14">
        <f>InputData[[#This Row],[BUYING PRIZE]]*InputData[[#This Row],[QUANTITY]]</f>
        <v>495</v>
      </c>
      <c r="M346" s="14">
        <f>InputData[[#This Row],[SELLING PRICE]]*InputData[[#This Row],[QUANTITY]]*(1-InputData[[#This Row],[DISCOUNT %]])</f>
        <v>495</v>
      </c>
      <c r="N346" s="12">
        <f>DAY(InputData[[#This Row],[DATE]])</f>
        <v>1</v>
      </c>
      <c r="O346" s="12" t="str">
        <f>TEXT(InputData[[#This Row],[DATE]],"mmm")</f>
        <v>May</v>
      </c>
      <c r="P346" s="12">
        <f>YEAR(InputData[[#This Row],[DATE]])</f>
        <v>2022</v>
      </c>
      <c r="Q346" s="12"/>
    </row>
    <row r="347" spans="1:17" x14ac:dyDescent="0.3">
      <c r="A347" s="10">
        <v>44682</v>
      </c>
      <c r="B347" s="11" t="s">
        <v>75</v>
      </c>
      <c r="C347" s="12">
        <v>6</v>
      </c>
      <c r="D347" s="12" t="s">
        <v>106</v>
      </c>
      <c r="E347" s="12" t="s">
        <v>106</v>
      </c>
      <c r="F347" s="13">
        <v>0</v>
      </c>
      <c r="G347" s="12" t="str">
        <f>VLOOKUP(InputData[[#This Row],[PRODUCT ID]],MasterData[],2,0)</f>
        <v>Product33</v>
      </c>
      <c r="H347" s="12" t="str">
        <f>VLOOKUP(InputData[[#This Row],[PRODUCT ID]],MasterData[],3,0)</f>
        <v>Category04</v>
      </c>
      <c r="I347" s="12" t="str">
        <f>VLOOKUP(InputData[[#This Row],[PRODUCT ID]],MasterData[],4,0)</f>
        <v>Kg</v>
      </c>
      <c r="J347" s="14">
        <f>VLOOKUP(InputData[[#This Row],[PRODUCT ID]],MasterData[],5,0)</f>
        <v>95</v>
      </c>
      <c r="K347" s="14">
        <f>VLOOKUP(InputData[[#This Row],[PRODUCT ID]],MasterData[],5,0)</f>
        <v>95</v>
      </c>
      <c r="L347" s="14">
        <f>InputData[[#This Row],[BUYING PRIZE]]*InputData[[#This Row],[QUANTITY]]</f>
        <v>570</v>
      </c>
      <c r="M347" s="14">
        <f>InputData[[#This Row],[SELLING PRICE]]*InputData[[#This Row],[QUANTITY]]*(1-InputData[[#This Row],[DISCOUNT %]])</f>
        <v>570</v>
      </c>
      <c r="N347" s="12">
        <f>DAY(InputData[[#This Row],[DATE]])</f>
        <v>1</v>
      </c>
      <c r="O347" s="12" t="str">
        <f>TEXT(InputData[[#This Row],[DATE]],"mmm")</f>
        <v>May</v>
      </c>
      <c r="P347" s="12">
        <f>YEAR(InputData[[#This Row],[DATE]])</f>
        <v>2022</v>
      </c>
      <c r="Q347" s="12"/>
    </row>
    <row r="348" spans="1:17" x14ac:dyDescent="0.3">
      <c r="A348" s="10">
        <v>44683</v>
      </c>
      <c r="B348" s="11" t="s">
        <v>33</v>
      </c>
      <c r="C348" s="12">
        <v>4</v>
      </c>
      <c r="D348" s="12" t="s">
        <v>106</v>
      </c>
      <c r="E348" s="12" t="s">
        <v>107</v>
      </c>
      <c r="F348" s="13">
        <v>0</v>
      </c>
      <c r="G348" s="12" t="str">
        <f>VLOOKUP(InputData[[#This Row],[PRODUCT ID]],MasterData[],2,0)</f>
        <v>Product13</v>
      </c>
      <c r="H348" s="12" t="str">
        <f>VLOOKUP(InputData[[#This Row],[PRODUCT ID]],MasterData[],3,0)</f>
        <v>Category02</v>
      </c>
      <c r="I348" s="12" t="str">
        <f>VLOOKUP(InputData[[#This Row],[PRODUCT ID]],MasterData[],4,0)</f>
        <v>Kg</v>
      </c>
      <c r="J348" s="14">
        <f>VLOOKUP(InputData[[#This Row],[PRODUCT ID]],MasterData[],5,0)</f>
        <v>112</v>
      </c>
      <c r="K348" s="14">
        <f>VLOOKUP(InputData[[#This Row],[PRODUCT ID]],MasterData[],5,0)</f>
        <v>112</v>
      </c>
      <c r="L348" s="14">
        <f>InputData[[#This Row],[BUYING PRIZE]]*InputData[[#This Row],[QUANTITY]]</f>
        <v>448</v>
      </c>
      <c r="M348" s="14">
        <f>InputData[[#This Row],[SELLING PRICE]]*InputData[[#This Row],[QUANTITY]]*(1-InputData[[#This Row],[DISCOUNT %]])</f>
        <v>448</v>
      </c>
      <c r="N348" s="12">
        <f>DAY(InputData[[#This Row],[DATE]])</f>
        <v>2</v>
      </c>
      <c r="O348" s="12" t="str">
        <f>TEXT(InputData[[#This Row],[DATE]],"mmm")</f>
        <v>May</v>
      </c>
      <c r="P348" s="12">
        <f>YEAR(InputData[[#This Row],[DATE]])</f>
        <v>2022</v>
      </c>
      <c r="Q348" s="12"/>
    </row>
    <row r="349" spans="1:17" x14ac:dyDescent="0.3">
      <c r="A349" s="10">
        <v>44685</v>
      </c>
      <c r="B349" s="11" t="s">
        <v>47</v>
      </c>
      <c r="C349" s="12">
        <v>10</v>
      </c>
      <c r="D349" s="12" t="s">
        <v>108</v>
      </c>
      <c r="E349" s="12" t="s">
        <v>106</v>
      </c>
      <c r="F349" s="13">
        <v>0</v>
      </c>
      <c r="G349" s="12" t="str">
        <f>VLOOKUP(InputData[[#This Row],[PRODUCT ID]],MasterData[],2,0)</f>
        <v>Product20</v>
      </c>
      <c r="H349" s="12" t="str">
        <f>VLOOKUP(InputData[[#This Row],[PRODUCT ID]],MasterData[],3,0)</f>
        <v>Category03</v>
      </c>
      <c r="I349" s="12" t="str">
        <f>VLOOKUP(InputData[[#This Row],[PRODUCT ID]],MasterData[],4,0)</f>
        <v>Lt</v>
      </c>
      <c r="J349" s="14">
        <f>VLOOKUP(InputData[[#This Row],[PRODUCT ID]],MasterData[],5,0)</f>
        <v>61</v>
      </c>
      <c r="K349" s="14">
        <f>VLOOKUP(InputData[[#This Row],[PRODUCT ID]],MasterData[],5,0)</f>
        <v>61</v>
      </c>
      <c r="L349" s="14">
        <f>InputData[[#This Row],[BUYING PRIZE]]*InputData[[#This Row],[QUANTITY]]</f>
        <v>610</v>
      </c>
      <c r="M349" s="14">
        <f>InputData[[#This Row],[SELLING PRICE]]*InputData[[#This Row],[QUANTITY]]*(1-InputData[[#This Row],[DISCOUNT %]])</f>
        <v>610</v>
      </c>
      <c r="N349" s="12">
        <f>DAY(InputData[[#This Row],[DATE]])</f>
        <v>4</v>
      </c>
      <c r="O349" s="12" t="str">
        <f>TEXT(InputData[[#This Row],[DATE]],"mmm")</f>
        <v>May</v>
      </c>
      <c r="P349" s="12">
        <f>YEAR(InputData[[#This Row],[DATE]])</f>
        <v>2022</v>
      </c>
      <c r="Q349" s="12"/>
    </row>
    <row r="350" spans="1:17" x14ac:dyDescent="0.3">
      <c r="A350" s="10">
        <v>44687</v>
      </c>
      <c r="B350" s="11" t="s">
        <v>77</v>
      </c>
      <c r="C350" s="12">
        <v>7</v>
      </c>
      <c r="D350" s="12" t="s">
        <v>108</v>
      </c>
      <c r="E350" s="12" t="s">
        <v>106</v>
      </c>
      <c r="F350" s="13">
        <v>0</v>
      </c>
      <c r="G350" s="12" t="str">
        <f>VLOOKUP(InputData[[#This Row],[PRODUCT ID]],MasterData[],2,0)</f>
        <v>Product34</v>
      </c>
      <c r="H350" s="12" t="str">
        <f>VLOOKUP(InputData[[#This Row],[PRODUCT ID]],MasterData[],3,0)</f>
        <v>Category04</v>
      </c>
      <c r="I350" s="12" t="str">
        <f>VLOOKUP(InputData[[#This Row],[PRODUCT ID]],MasterData[],4,0)</f>
        <v>Lt</v>
      </c>
      <c r="J350" s="14">
        <f>VLOOKUP(InputData[[#This Row],[PRODUCT ID]],MasterData[],5,0)</f>
        <v>55</v>
      </c>
      <c r="K350" s="14">
        <f>VLOOKUP(InputData[[#This Row],[PRODUCT ID]],MasterData[],5,0)</f>
        <v>55</v>
      </c>
      <c r="L350" s="14">
        <f>InputData[[#This Row],[BUYING PRIZE]]*InputData[[#This Row],[QUANTITY]]</f>
        <v>385</v>
      </c>
      <c r="M350" s="14">
        <f>InputData[[#This Row],[SELLING PRICE]]*InputData[[#This Row],[QUANTITY]]*(1-InputData[[#This Row],[DISCOUNT %]])</f>
        <v>385</v>
      </c>
      <c r="N350" s="12">
        <f>DAY(InputData[[#This Row],[DATE]])</f>
        <v>6</v>
      </c>
      <c r="O350" s="12" t="str">
        <f>TEXT(InputData[[#This Row],[DATE]],"mmm")</f>
        <v>May</v>
      </c>
      <c r="P350" s="12">
        <f>YEAR(InputData[[#This Row],[DATE]])</f>
        <v>2022</v>
      </c>
      <c r="Q350" s="12"/>
    </row>
    <row r="351" spans="1:17" x14ac:dyDescent="0.3">
      <c r="A351" s="10">
        <v>44688</v>
      </c>
      <c r="B351" s="11" t="s">
        <v>37</v>
      </c>
      <c r="C351" s="12">
        <v>4</v>
      </c>
      <c r="D351" s="12" t="s">
        <v>106</v>
      </c>
      <c r="E351" s="12" t="s">
        <v>107</v>
      </c>
      <c r="F351" s="13">
        <v>0</v>
      </c>
      <c r="G351" s="12" t="str">
        <f>VLOOKUP(InputData[[#This Row],[PRODUCT ID]],MasterData[],2,0)</f>
        <v>Product15</v>
      </c>
      <c r="H351" s="12" t="str">
        <f>VLOOKUP(InputData[[#This Row],[PRODUCT ID]],MasterData[],3,0)</f>
        <v>Category02</v>
      </c>
      <c r="I351" s="12" t="str">
        <f>VLOOKUP(InputData[[#This Row],[PRODUCT ID]],MasterData[],4,0)</f>
        <v>No.</v>
      </c>
      <c r="J351" s="14">
        <f>VLOOKUP(InputData[[#This Row],[PRODUCT ID]],MasterData[],5,0)</f>
        <v>12</v>
      </c>
      <c r="K351" s="14">
        <f>VLOOKUP(InputData[[#This Row],[PRODUCT ID]],MasterData[],5,0)</f>
        <v>12</v>
      </c>
      <c r="L351" s="14">
        <f>InputData[[#This Row],[BUYING PRIZE]]*InputData[[#This Row],[QUANTITY]]</f>
        <v>48</v>
      </c>
      <c r="M351" s="14">
        <f>InputData[[#This Row],[SELLING PRICE]]*InputData[[#This Row],[QUANTITY]]*(1-InputData[[#This Row],[DISCOUNT %]])</f>
        <v>48</v>
      </c>
      <c r="N351" s="12">
        <f>DAY(InputData[[#This Row],[DATE]])</f>
        <v>7</v>
      </c>
      <c r="O351" s="12" t="str">
        <f>TEXT(InputData[[#This Row],[DATE]],"mmm")</f>
        <v>May</v>
      </c>
      <c r="P351" s="12">
        <f>YEAR(InputData[[#This Row],[DATE]])</f>
        <v>2022</v>
      </c>
      <c r="Q351" s="12"/>
    </row>
    <row r="352" spans="1:17" x14ac:dyDescent="0.3">
      <c r="A352" s="10">
        <v>44688</v>
      </c>
      <c r="B352" s="11" t="s">
        <v>63</v>
      </c>
      <c r="C352" s="12">
        <v>1</v>
      </c>
      <c r="D352" s="12" t="s">
        <v>106</v>
      </c>
      <c r="E352" s="12" t="s">
        <v>106</v>
      </c>
      <c r="F352" s="13">
        <v>0</v>
      </c>
      <c r="G352" s="12" t="str">
        <f>VLOOKUP(InputData[[#This Row],[PRODUCT ID]],MasterData[],2,0)</f>
        <v>Product27</v>
      </c>
      <c r="H352" s="12" t="str">
        <f>VLOOKUP(InputData[[#This Row],[PRODUCT ID]],MasterData[],3,0)</f>
        <v>Category04</v>
      </c>
      <c r="I352" s="12" t="str">
        <f>VLOOKUP(InputData[[#This Row],[PRODUCT ID]],MasterData[],4,0)</f>
        <v>Lt</v>
      </c>
      <c r="J352" s="14">
        <f>VLOOKUP(InputData[[#This Row],[PRODUCT ID]],MasterData[],5,0)</f>
        <v>48</v>
      </c>
      <c r="K352" s="14">
        <f>VLOOKUP(InputData[[#This Row],[PRODUCT ID]],MasterData[],5,0)</f>
        <v>48</v>
      </c>
      <c r="L352" s="14">
        <f>InputData[[#This Row],[BUYING PRIZE]]*InputData[[#This Row],[QUANTITY]]</f>
        <v>48</v>
      </c>
      <c r="M352" s="14">
        <f>InputData[[#This Row],[SELLING PRICE]]*InputData[[#This Row],[QUANTITY]]*(1-InputData[[#This Row],[DISCOUNT %]])</f>
        <v>48</v>
      </c>
      <c r="N352" s="12">
        <f>DAY(InputData[[#This Row],[DATE]])</f>
        <v>7</v>
      </c>
      <c r="O352" s="12" t="str">
        <f>TEXT(InputData[[#This Row],[DATE]],"mmm")</f>
        <v>May</v>
      </c>
      <c r="P352" s="12">
        <f>YEAR(InputData[[#This Row],[DATE]])</f>
        <v>2022</v>
      </c>
      <c r="Q352" s="12"/>
    </row>
    <row r="353" spans="1:17" x14ac:dyDescent="0.3">
      <c r="A353" s="10">
        <v>44689</v>
      </c>
      <c r="B353" s="11" t="s">
        <v>52</v>
      </c>
      <c r="C353" s="12">
        <v>7</v>
      </c>
      <c r="D353" s="12" t="s">
        <v>106</v>
      </c>
      <c r="E353" s="12" t="s">
        <v>106</v>
      </c>
      <c r="F353" s="13">
        <v>0</v>
      </c>
      <c r="G353" s="12" t="str">
        <f>VLOOKUP(InputData[[#This Row],[PRODUCT ID]],MasterData[],2,0)</f>
        <v>Product22</v>
      </c>
      <c r="H353" s="12" t="str">
        <f>VLOOKUP(InputData[[#This Row],[PRODUCT ID]],MasterData[],3,0)</f>
        <v>Category03</v>
      </c>
      <c r="I353" s="12" t="str">
        <f>VLOOKUP(InputData[[#This Row],[PRODUCT ID]],MasterData[],4,0)</f>
        <v>Ft</v>
      </c>
      <c r="J353" s="14">
        <f>VLOOKUP(InputData[[#This Row],[PRODUCT ID]],MasterData[],5,0)</f>
        <v>121</v>
      </c>
      <c r="K353" s="14">
        <f>VLOOKUP(InputData[[#This Row],[PRODUCT ID]],MasterData[],5,0)</f>
        <v>121</v>
      </c>
      <c r="L353" s="14">
        <f>InputData[[#This Row],[BUYING PRIZE]]*InputData[[#This Row],[QUANTITY]]</f>
        <v>847</v>
      </c>
      <c r="M353" s="14">
        <f>InputData[[#This Row],[SELLING PRICE]]*InputData[[#This Row],[QUANTITY]]*(1-InputData[[#This Row],[DISCOUNT %]])</f>
        <v>847</v>
      </c>
      <c r="N353" s="12">
        <f>DAY(InputData[[#This Row],[DATE]])</f>
        <v>8</v>
      </c>
      <c r="O353" s="12" t="str">
        <f>TEXT(InputData[[#This Row],[DATE]],"mmm")</f>
        <v>May</v>
      </c>
      <c r="P353" s="12">
        <f>YEAR(InputData[[#This Row],[DATE]])</f>
        <v>2022</v>
      </c>
      <c r="Q353" s="12"/>
    </row>
    <row r="354" spans="1:17" x14ac:dyDescent="0.3">
      <c r="A354" s="10">
        <v>44690</v>
      </c>
      <c r="B354" s="11" t="s">
        <v>41</v>
      </c>
      <c r="C354" s="12">
        <v>12</v>
      </c>
      <c r="D354" s="12" t="s">
        <v>105</v>
      </c>
      <c r="E354" s="12" t="s">
        <v>107</v>
      </c>
      <c r="F354" s="13">
        <v>0</v>
      </c>
      <c r="G354" s="12" t="str">
        <f>VLOOKUP(InputData[[#This Row],[PRODUCT ID]],MasterData[],2,0)</f>
        <v>Product17</v>
      </c>
      <c r="H354" s="12" t="str">
        <f>VLOOKUP(InputData[[#This Row],[PRODUCT ID]],MasterData[],3,0)</f>
        <v>Category02</v>
      </c>
      <c r="I354" s="12" t="str">
        <f>VLOOKUP(InputData[[#This Row],[PRODUCT ID]],MasterData[],4,0)</f>
        <v>Ft</v>
      </c>
      <c r="J354" s="14">
        <f>VLOOKUP(InputData[[#This Row],[PRODUCT ID]],MasterData[],5,0)</f>
        <v>134</v>
      </c>
      <c r="K354" s="14">
        <f>VLOOKUP(InputData[[#This Row],[PRODUCT ID]],MasterData[],5,0)</f>
        <v>134</v>
      </c>
      <c r="L354" s="14">
        <f>InputData[[#This Row],[BUYING PRIZE]]*InputData[[#This Row],[QUANTITY]]</f>
        <v>1608</v>
      </c>
      <c r="M354" s="14">
        <f>InputData[[#This Row],[SELLING PRICE]]*InputData[[#This Row],[QUANTITY]]*(1-InputData[[#This Row],[DISCOUNT %]])</f>
        <v>1608</v>
      </c>
      <c r="N354" s="12">
        <f>DAY(InputData[[#This Row],[DATE]])</f>
        <v>9</v>
      </c>
      <c r="O354" s="12" t="str">
        <f>TEXT(InputData[[#This Row],[DATE]],"mmm")</f>
        <v>May</v>
      </c>
      <c r="P354" s="12">
        <f>YEAR(InputData[[#This Row],[DATE]])</f>
        <v>2022</v>
      </c>
      <c r="Q354" s="12"/>
    </row>
    <row r="355" spans="1:17" x14ac:dyDescent="0.3">
      <c r="A355" s="10">
        <v>44691</v>
      </c>
      <c r="B355" s="11" t="s">
        <v>24</v>
      </c>
      <c r="C355" s="12">
        <v>6</v>
      </c>
      <c r="D355" s="12" t="s">
        <v>108</v>
      </c>
      <c r="E355" s="12" t="s">
        <v>106</v>
      </c>
      <c r="F355" s="13">
        <v>0</v>
      </c>
      <c r="G355" s="12" t="str">
        <f>VLOOKUP(InputData[[#This Row],[PRODUCT ID]],MasterData[],2,0)</f>
        <v>Product09</v>
      </c>
      <c r="H355" s="12" t="str">
        <f>VLOOKUP(InputData[[#This Row],[PRODUCT ID]],MasterData[],3,0)</f>
        <v>Category01</v>
      </c>
      <c r="I355" s="12" t="str">
        <f>VLOOKUP(InputData[[#This Row],[PRODUCT ID]],MasterData[],4,0)</f>
        <v>No.</v>
      </c>
      <c r="J355" s="14">
        <f>VLOOKUP(InputData[[#This Row],[PRODUCT ID]],MasterData[],5,0)</f>
        <v>6</v>
      </c>
      <c r="K355" s="14">
        <f>VLOOKUP(InputData[[#This Row],[PRODUCT ID]],MasterData[],5,0)</f>
        <v>6</v>
      </c>
      <c r="L355" s="14">
        <f>InputData[[#This Row],[BUYING PRIZE]]*InputData[[#This Row],[QUANTITY]]</f>
        <v>36</v>
      </c>
      <c r="M355" s="14">
        <f>InputData[[#This Row],[SELLING PRICE]]*InputData[[#This Row],[QUANTITY]]*(1-InputData[[#This Row],[DISCOUNT %]])</f>
        <v>36</v>
      </c>
      <c r="N355" s="12">
        <f>DAY(InputData[[#This Row],[DATE]])</f>
        <v>10</v>
      </c>
      <c r="O355" s="12" t="str">
        <f>TEXT(InputData[[#This Row],[DATE]],"mmm")</f>
        <v>May</v>
      </c>
      <c r="P355" s="12">
        <f>YEAR(InputData[[#This Row],[DATE]])</f>
        <v>2022</v>
      </c>
      <c r="Q355" s="12"/>
    </row>
    <row r="356" spans="1:17" x14ac:dyDescent="0.3">
      <c r="A356" s="10">
        <v>44693</v>
      </c>
      <c r="B356" s="11" t="s">
        <v>29</v>
      </c>
      <c r="C356" s="12">
        <v>7</v>
      </c>
      <c r="D356" s="12" t="s">
        <v>106</v>
      </c>
      <c r="E356" s="12" t="s">
        <v>107</v>
      </c>
      <c r="F356" s="13">
        <v>0</v>
      </c>
      <c r="G356" s="12" t="str">
        <f>VLOOKUP(InputData[[#This Row],[PRODUCT ID]],MasterData[],2,0)</f>
        <v>Product11</v>
      </c>
      <c r="H356" s="12" t="str">
        <f>VLOOKUP(InputData[[#This Row],[PRODUCT ID]],MasterData[],3,0)</f>
        <v>Category02</v>
      </c>
      <c r="I356" s="12" t="str">
        <f>VLOOKUP(InputData[[#This Row],[PRODUCT ID]],MasterData[],4,0)</f>
        <v>Lt</v>
      </c>
      <c r="J356" s="14">
        <f>VLOOKUP(InputData[[#This Row],[PRODUCT ID]],MasterData[],5,0)</f>
        <v>44</v>
      </c>
      <c r="K356" s="14">
        <f>VLOOKUP(InputData[[#This Row],[PRODUCT ID]],MasterData[],5,0)</f>
        <v>44</v>
      </c>
      <c r="L356" s="14">
        <f>InputData[[#This Row],[BUYING PRIZE]]*InputData[[#This Row],[QUANTITY]]</f>
        <v>308</v>
      </c>
      <c r="M356" s="14">
        <f>InputData[[#This Row],[SELLING PRICE]]*InputData[[#This Row],[QUANTITY]]*(1-InputData[[#This Row],[DISCOUNT %]])</f>
        <v>308</v>
      </c>
      <c r="N356" s="12">
        <f>DAY(InputData[[#This Row],[DATE]])</f>
        <v>12</v>
      </c>
      <c r="O356" s="12" t="str">
        <f>TEXT(InputData[[#This Row],[DATE]],"mmm")</f>
        <v>May</v>
      </c>
      <c r="P356" s="12">
        <f>YEAR(InputData[[#This Row],[DATE]])</f>
        <v>2022</v>
      </c>
      <c r="Q356" s="12"/>
    </row>
    <row r="357" spans="1:17" x14ac:dyDescent="0.3">
      <c r="A357" s="10">
        <v>44694</v>
      </c>
      <c r="B357" s="11" t="s">
        <v>31</v>
      </c>
      <c r="C357" s="12">
        <v>5</v>
      </c>
      <c r="D357" s="12" t="s">
        <v>108</v>
      </c>
      <c r="E357" s="12" t="s">
        <v>106</v>
      </c>
      <c r="F357" s="13">
        <v>0</v>
      </c>
      <c r="G357" s="12" t="str">
        <f>VLOOKUP(InputData[[#This Row],[PRODUCT ID]],MasterData[],2,0)</f>
        <v>Product12</v>
      </c>
      <c r="H357" s="12" t="str">
        <f>VLOOKUP(InputData[[#This Row],[PRODUCT ID]],MasterData[],3,0)</f>
        <v>Category02</v>
      </c>
      <c r="I357" s="12" t="str">
        <f>VLOOKUP(InputData[[#This Row],[PRODUCT ID]],MasterData[],4,0)</f>
        <v>Kg</v>
      </c>
      <c r="J357" s="14">
        <f>VLOOKUP(InputData[[#This Row],[PRODUCT ID]],MasterData[],5,0)</f>
        <v>73</v>
      </c>
      <c r="K357" s="14">
        <f>VLOOKUP(InputData[[#This Row],[PRODUCT ID]],MasterData[],5,0)</f>
        <v>73</v>
      </c>
      <c r="L357" s="14">
        <f>InputData[[#This Row],[BUYING PRIZE]]*InputData[[#This Row],[QUANTITY]]</f>
        <v>365</v>
      </c>
      <c r="M357" s="14">
        <f>InputData[[#This Row],[SELLING PRICE]]*InputData[[#This Row],[QUANTITY]]*(1-InputData[[#This Row],[DISCOUNT %]])</f>
        <v>365</v>
      </c>
      <c r="N357" s="12">
        <f>DAY(InputData[[#This Row],[DATE]])</f>
        <v>13</v>
      </c>
      <c r="O357" s="12" t="str">
        <f>TEXT(InputData[[#This Row],[DATE]],"mmm")</f>
        <v>May</v>
      </c>
      <c r="P357" s="12">
        <f>YEAR(InputData[[#This Row],[DATE]])</f>
        <v>2022</v>
      </c>
      <c r="Q357" s="12"/>
    </row>
    <row r="358" spans="1:17" x14ac:dyDescent="0.3">
      <c r="A358" s="10">
        <v>44695</v>
      </c>
      <c r="B358" s="11" t="s">
        <v>22</v>
      </c>
      <c r="C358" s="12">
        <v>14</v>
      </c>
      <c r="D358" s="12" t="s">
        <v>108</v>
      </c>
      <c r="E358" s="12" t="s">
        <v>107</v>
      </c>
      <c r="F358" s="13">
        <v>0</v>
      </c>
      <c r="G358" s="12" t="str">
        <f>VLOOKUP(InputData[[#This Row],[PRODUCT ID]],MasterData[],2,0)</f>
        <v>Product08</v>
      </c>
      <c r="H358" s="12" t="str">
        <f>VLOOKUP(InputData[[#This Row],[PRODUCT ID]],MasterData[],3,0)</f>
        <v>Category01</v>
      </c>
      <c r="I358" s="12" t="str">
        <f>VLOOKUP(InputData[[#This Row],[PRODUCT ID]],MasterData[],4,0)</f>
        <v>Kg</v>
      </c>
      <c r="J358" s="14">
        <f>VLOOKUP(InputData[[#This Row],[PRODUCT ID]],MasterData[],5,0)</f>
        <v>83</v>
      </c>
      <c r="K358" s="14">
        <f>VLOOKUP(InputData[[#This Row],[PRODUCT ID]],MasterData[],5,0)</f>
        <v>83</v>
      </c>
      <c r="L358" s="14">
        <f>InputData[[#This Row],[BUYING PRIZE]]*InputData[[#This Row],[QUANTITY]]</f>
        <v>1162</v>
      </c>
      <c r="M358" s="14">
        <f>InputData[[#This Row],[SELLING PRICE]]*InputData[[#This Row],[QUANTITY]]*(1-InputData[[#This Row],[DISCOUNT %]])</f>
        <v>1162</v>
      </c>
      <c r="N358" s="12">
        <f>DAY(InputData[[#This Row],[DATE]])</f>
        <v>14</v>
      </c>
      <c r="O358" s="12" t="str">
        <f>TEXT(InputData[[#This Row],[DATE]],"mmm")</f>
        <v>May</v>
      </c>
      <c r="P358" s="12">
        <f>YEAR(InputData[[#This Row],[DATE]])</f>
        <v>2022</v>
      </c>
      <c r="Q358" s="12"/>
    </row>
    <row r="359" spans="1:17" x14ac:dyDescent="0.3">
      <c r="A359" s="10">
        <v>44696</v>
      </c>
      <c r="B359" s="11" t="s">
        <v>47</v>
      </c>
      <c r="C359" s="12">
        <v>5</v>
      </c>
      <c r="D359" s="12" t="s">
        <v>106</v>
      </c>
      <c r="E359" s="12" t="s">
        <v>106</v>
      </c>
      <c r="F359" s="13">
        <v>0</v>
      </c>
      <c r="G359" s="12" t="str">
        <f>VLOOKUP(InputData[[#This Row],[PRODUCT ID]],MasterData[],2,0)</f>
        <v>Product20</v>
      </c>
      <c r="H359" s="12" t="str">
        <f>VLOOKUP(InputData[[#This Row],[PRODUCT ID]],MasterData[],3,0)</f>
        <v>Category03</v>
      </c>
      <c r="I359" s="12" t="str">
        <f>VLOOKUP(InputData[[#This Row],[PRODUCT ID]],MasterData[],4,0)</f>
        <v>Lt</v>
      </c>
      <c r="J359" s="14">
        <f>VLOOKUP(InputData[[#This Row],[PRODUCT ID]],MasterData[],5,0)</f>
        <v>61</v>
      </c>
      <c r="K359" s="14">
        <f>VLOOKUP(InputData[[#This Row],[PRODUCT ID]],MasterData[],5,0)</f>
        <v>61</v>
      </c>
      <c r="L359" s="14">
        <f>InputData[[#This Row],[BUYING PRIZE]]*InputData[[#This Row],[QUANTITY]]</f>
        <v>305</v>
      </c>
      <c r="M359" s="14">
        <f>InputData[[#This Row],[SELLING PRICE]]*InputData[[#This Row],[QUANTITY]]*(1-InputData[[#This Row],[DISCOUNT %]])</f>
        <v>305</v>
      </c>
      <c r="N359" s="12">
        <f>DAY(InputData[[#This Row],[DATE]])</f>
        <v>15</v>
      </c>
      <c r="O359" s="12" t="str">
        <f>TEXT(InputData[[#This Row],[DATE]],"mmm")</f>
        <v>May</v>
      </c>
      <c r="P359" s="12">
        <f>YEAR(InputData[[#This Row],[DATE]])</f>
        <v>2022</v>
      </c>
      <c r="Q359" s="12"/>
    </row>
    <row r="360" spans="1:17" x14ac:dyDescent="0.3">
      <c r="A360" s="10">
        <v>44697</v>
      </c>
      <c r="B360" s="11" t="s">
        <v>26</v>
      </c>
      <c r="C360" s="12">
        <v>13</v>
      </c>
      <c r="D360" s="12" t="s">
        <v>108</v>
      </c>
      <c r="E360" s="12" t="s">
        <v>107</v>
      </c>
      <c r="F360" s="13">
        <v>0</v>
      </c>
      <c r="G360" s="12" t="str">
        <f>VLOOKUP(InputData[[#This Row],[PRODUCT ID]],MasterData[],2,0)</f>
        <v>Product10</v>
      </c>
      <c r="H360" s="12" t="str">
        <f>VLOOKUP(InputData[[#This Row],[PRODUCT ID]],MasterData[],3,0)</f>
        <v>Category02</v>
      </c>
      <c r="I360" s="12" t="str">
        <f>VLOOKUP(InputData[[#This Row],[PRODUCT ID]],MasterData[],4,0)</f>
        <v>Ft</v>
      </c>
      <c r="J360" s="14">
        <f>VLOOKUP(InputData[[#This Row],[PRODUCT ID]],MasterData[],5,0)</f>
        <v>148</v>
      </c>
      <c r="K360" s="14">
        <f>VLOOKUP(InputData[[#This Row],[PRODUCT ID]],MasterData[],5,0)</f>
        <v>148</v>
      </c>
      <c r="L360" s="14">
        <f>InputData[[#This Row],[BUYING PRIZE]]*InputData[[#This Row],[QUANTITY]]</f>
        <v>1924</v>
      </c>
      <c r="M360" s="14">
        <f>InputData[[#This Row],[SELLING PRICE]]*InputData[[#This Row],[QUANTITY]]*(1-InputData[[#This Row],[DISCOUNT %]])</f>
        <v>1924</v>
      </c>
      <c r="N360" s="12">
        <f>DAY(InputData[[#This Row],[DATE]])</f>
        <v>16</v>
      </c>
      <c r="O360" s="12" t="str">
        <f>TEXT(InputData[[#This Row],[DATE]],"mmm")</f>
        <v>May</v>
      </c>
      <c r="P360" s="12">
        <f>YEAR(InputData[[#This Row],[DATE]])</f>
        <v>2022</v>
      </c>
      <c r="Q360" s="12"/>
    </row>
    <row r="361" spans="1:17" x14ac:dyDescent="0.3">
      <c r="A361" s="10">
        <v>44697</v>
      </c>
      <c r="B361" s="11" t="s">
        <v>71</v>
      </c>
      <c r="C361" s="12">
        <v>13</v>
      </c>
      <c r="D361" s="12" t="s">
        <v>106</v>
      </c>
      <c r="E361" s="12" t="s">
        <v>106</v>
      </c>
      <c r="F361" s="13">
        <v>0</v>
      </c>
      <c r="G361" s="12" t="str">
        <f>VLOOKUP(InputData[[#This Row],[PRODUCT ID]],MasterData[],2,0)</f>
        <v>Product31</v>
      </c>
      <c r="H361" s="12" t="str">
        <f>VLOOKUP(InputData[[#This Row],[PRODUCT ID]],MasterData[],3,0)</f>
        <v>Category04</v>
      </c>
      <c r="I361" s="12" t="str">
        <f>VLOOKUP(InputData[[#This Row],[PRODUCT ID]],MasterData[],4,0)</f>
        <v>Kg</v>
      </c>
      <c r="J361" s="14">
        <f>VLOOKUP(InputData[[#This Row],[PRODUCT ID]],MasterData[],5,0)</f>
        <v>93</v>
      </c>
      <c r="K361" s="14">
        <f>VLOOKUP(InputData[[#This Row],[PRODUCT ID]],MasterData[],5,0)</f>
        <v>93</v>
      </c>
      <c r="L361" s="14">
        <f>InputData[[#This Row],[BUYING PRIZE]]*InputData[[#This Row],[QUANTITY]]</f>
        <v>1209</v>
      </c>
      <c r="M361" s="14">
        <f>InputData[[#This Row],[SELLING PRICE]]*InputData[[#This Row],[QUANTITY]]*(1-InputData[[#This Row],[DISCOUNT %]])</f>
        <v>1209</v>
      </c>
      <c r="N361" s="12">
        <f>DAY(InputData[[#This Row],[DATE]])</f>
        <v>16</v>
      </c>
      <c r="O361" s="12" t="str">
        <f>TEXT(InputData[[#This Row],[DATE]],"mmm")</f>
        <v>May</v>
      </c>
      <c r="P361" s="12">
        <f>YEAR(InputData[[#This Row],[DATE]])</f>
        <v>2022</v>
      </c>
      <c r="Q361" s="12"/>
    </row>
    <row r="362" spans="1:17" x14ac:dyDescent="0.3">
      <c r="A362" s="10">
        <v>44698</v>
      </c>
      <c r="B362" s="11" t="s">
        <v>63</v>
      </c>
      <c r="C362" s="12">
        <v>8</v>
      </c>
      <c r="D362" s="12" t="s">
        <v>108</v>
      </c>
      <c r="E362" s="12" t="s">
        <v>107</v>
      </c>
      <c r="F362" s="13">
        <v>0</v>
      </c>
      <c r="G362" s="12" t="str">
        <f>VLOOKUP(InputData[[#This Row],[PRODUCT ID]],MasterData[],2,0)</f>
        <v>Product27</v>
      </c>
      <c r="H362" s="12" t="str">
        <f>VLOOKUP(InputData[[#This Row],[PRODUCT ID]],MasterData[],3,0)</f>
        <v>Category04</v>
      </c>
      <c r="I362" s="12" t="str">
        <f>VLOOKUP(InputData[[#This Row],[PRODUCT ID]],MasterData[],4,0)</f>
        <v>Lt</v>
      </c>
      <c r="J362" s="14">
        <f>VLOOKUP(InputData[[#This Row],[PRODUCT ID]],MasterData[],5,0)</f>
        <v>48</v>
      </c>
      <c r="K362" s="14">
        <f>VLOOKUP(InputData[[#This Row],[PRODUCT ID]],MasterData[],5,0)</f>
        <v>48</v>
      </c>
      <c r="L362" s="14">
        <f>InputData[[#This Row],[BUYING PRIZE]]*InputData[[#This Row],[QUANTITY]]</f>
        <v>384</v>
      </c>
      <c r="M362" s="14">
        <f>InputData[[#This Row],[SELLING PRICE]]*InputData[[#This Row],[QUANTITY]]*(1-InputData[[#This Row],[DISCOUNT %]])</f>
        <v>384</v>
      </c>
      <c r="N362" s="12">
        <f>DAY(InputData[[#This Row],[DATE]])</f>
        <v>17</v>
      </c>
      <c r="O362" s="12" t="str">
        <f>TEXT(InputData[[#This Row],[DATE]],"mmm")</f>
        <v>May</v>
      </c>
      <c r="P362" s="12">
        <f>YEAR(InputData[[#This Row],[DATE]])</f>
        <v>2022</v>
      </c>
      <c r="Q362" s="12"/>
    </row>
    <row r="363" spans="1:17" x14ac:dyDescent="0.3">
      <c r="A363" s="10">
        <v>44699</v>
      </c>
      <c r="B363" s="11" t="s">
        <v>63</v>
      </c>
      <c r="C363" s="12">
        <v>4</v>
      </c>
      <c r="D363" s="12" t="s">
        <v>105</v>
      </c>
      <c r="E363" s="12" t="s">
        <v>106</v>
      </c>
      <c r="F363" s="13">
        <v>0</v>
      </c>
      <c r="G363" s="12" t="str">
        <f>VLOOKUP(InputData[[#This Row],[PRODUCT ID]],MasterData[],2,0)</f>
        <v>Product27</v>
      </c>
      <c r="H363" s="12" t="str">
        <f>VLOOKUP(InputData[[#This Row],[PRODUCT ID]],MasterData[],3,0)</f>
        <v>Category04</v>
      </c>
      <c r="I363" s="12" t="str">
        <f>VLOOKUP(InputData[[#This Row],[PRODUCT ID]],MasterData[],4,0)</f>
        <v>Lt</v>
      </c>
      <c r="J363" s="14">
        <f>VLOOKUP(InputData[[#This Row],[PRODUCT ID]],MasterData[],5,0)</f>
        <v>48</v>
      </c>
      <c r="K363" s="14">
        <f>VLOOKUP(InputData[[#This Row],[PRODUCT ID]],MasterData[],5,0)</f>
        <v>48</v>
      </c>
      <c r="L363" s="14">
        <f>InputData[[#This Row],[BUYING PRIZE]]*InputData[[#This Row],[QUANTITY]]</f>
        <v>192</v>
      </c>
      <c r="M363" s="14">
        <f>InputData[[#This Row],[SELLING PRICE]]*InputData[[#This Row],[QUANTITY]]*(1-InputData[[#This Row],[DISCOUNT %]])</f>
        <v>192</v>
      </c>
      <c r="N363" s="12">
        <f>DAY(InputData[[#This Row],[DATE]])</f>
        <v>18</v>
      </c>
      <c r="O363" s="12" t="str">
        <f>TEXT(InputData[[#This Row],[DATE]],"mmm")</f>
        <v>May</v>
      </c>
      <c r="P363" s="12">
        <f>YEAR(InputData[[#This Row],[DATE]])</f>
        <v>2022</v>
      </c>
      <c r="Q363" s="12"/>
    </row>
    <row r="364" spans="1:17" x14ac:dyDescent="0.3">
      <c r="A364" s="10">
        <v>44699</v>
      </c>
      <c r="B364" s="11" t="s">
        <v>86</v>
      </c>
      <c r="C364" s="12">
        <v>8</v>
      </c>
      <c r="D364" s="12" t="s">
        <v>105</v>
      </c>
      <c r="E364" s="12" t="s">
        <v>106</v>
      </c>
      <c r="F364" s="13">
        <v>0</v>
      </c>
      <c r="G364" s="12" t="str">
        <f>VLOOKUP(InputData[[#This Row],[PRODUCT ID]],MasterData[],2,0)</f>
        <v>Product38</v>
      </c>
      <c r="H364" s="12" t="str">
        <f>VLOOKUP(InputData[[#This Row],[PRODUCT ID]],MasterData[],3,0)</f>
        <v>Category05</v>
      </c>
      <c r="I364" s="12" t="str">
        <f>VLOOKUP(InputData[[#This Row],[PRODUCT ID]],MasterData[],4,0)</f>
        <v>Kg</v>
      </c>
      <c r="J364" s="14">
        <f>VLOOKUP(InputData[[#This Row],[PRODUCT ID]],MasterData[],5,0)</f>
        <v>72</v>
      </c>
      <c r="K364" s="14">
        <f>VLOOKUP(InputData[[#This Row],[PRODUCT ID]],MasterData[],5,0)</f>
        <v>72</v>
      </c>
      <c r="L364" s="14">
        <f>InputData[[#This Row],[BUYING PRIZE]]*InputData[[#This Row],[QUANTITY]]</f>
        <v>576</v>
      </c>
      <c r="M364" s="14">
        <f>InputData[[#This Row],[SELLING PRICE]]*InputData[[#This Row],[QUANTITY]]*(1-InputData[[#This Row],[DISCOUNT %]])</f>
        <v>576</v>
      </c>
      <c r="N364" s="12">
        <f>DAY(InputData[[#This Row],[DATE]])</f>
        <v>18</v>
      </c>
      <c r="O364" s="12" t="str">
        <f>TEXT(InputData[[#This Row],[DATE]],"mmm")</f>
        <v>May</v>
      </c>
      <c r="P364" s="12">
        <f>YEAR(InputData[[#This Row],[DATE]])</f>
        <v>2022</v>
      </c>
      <c r="Q364" s="12"/>
    </row>
    <row r="365" spans="1:17" x14ac:dyDescent="0.3">
      <c r="A365" s="10">
        <v>44701</v>
      </c>
      <c r="B365" s="11" t="s">
        <v>98</v>
      </c>
      <c r="C365" s="12">
        <v>15</v>
      </c>
      <c r="D365" s="12" t="s">
        <v>106</v>
      </c>
      <c r="E365" s="12" t="s">
        <v>107</v>
      </c>
      <c r="F365" s="13">
        <v>0</v>
      </c>
      <c r="G365" s="12" t="str">
        <f>VLOOKUP(InputData[[#This Row],[PRODUCT ID]],MasterData[],2,0)</f>
        <v>Product44</v>
      </c>
      <c r="H365" s="12" t="str">
        <f>VLOOKUP(InputData[[#This Row],[PRODUCT ID]],MasterData[],3,0)</f>
        <v>Category05</v>
      </c>
      <c r="I365" s="12" t="str">
        <f>VLOOKUP(InputData[[#This Row],[PRODUCT ID]],MasterData[],4,0)</f>
        <v>Kg</v>
      </c>
      <c r="J365" s="14">
        <f>VLOOKUP(InputData[[#This Row],[PRODUCT ID]],MasterData[],5,0)</f>
        <v>76</v>
      </c>
      <c r="K365" s="14">
        <f>VLOOKUP(InputData[[#This Row],[PRODUCT ID]],MasterData[],5,0)</f>
        <v>76</v>
      </c>
      <c r="L365" s="14">
        <f>InputData[[#This Row],[BUYING PRIZE]]*InputData[[#This Row],[QUANTITY]]</f>
        <v>1140</v>
      </c>
      <c r="M365" s="14">
        <f>InputData[[#This Row],[SELLING PRICE]]*InputData[[#This Row],[QUANTITY]]*(1-InputData[[#This Row],[DISCOUNT %]])</f>
        <v>1140</v>
      </c>
      <c r="N365" s="12">
        <f>DAY(InputData[[#This Row],[DATE]])</f>
        <v>20</v>
      </c>
      <c r="O365" s="12" t="str">
        <f>TEXT(InputData[[#This Row],[DATE]],"mmm")</f>
        <v>May</v>
      </c>
      <c r="P365" s="12">
        <f>YEAR(InputData[[#This Row],[DATE]])</f>
        <v>2022</v>
      </c>
      <c r="Q365" s="12"/>
    </row>
    <row r="366" spans="1:17" x14ac:dyDescent="0.3">
      <c r="A366" s="10">
        <v>44703</v>
      </c>
      <c r="B366" s="11" t="s">
        <v>37</v>
      </c>
      <c r="C366" s="12">
        <v>12</v>
      </c>
      <c r="D366" s="12" t="s">
        <v>108</v>
      </c>
      <c r="E366" s="12" t="s">
        <v>106</v>
      </c>
      <c r="F366" s="13">
        <v>0</v>
      </c>
      <c r="G366" s="12" t="str">
        <f>VLOOKUP(InputData[[#This Row],[PRODUCT ID]],MasterData[],2,0)</f>
        <v>Product15</v>
      </c>
      <c r="H366" s="12" t="str">
        <f>VLOOKUP(InputData[[#This Row],[PRODUCT ID]],MasterData[],3,0)</f>
        <v>Category02</v>
      </c>
      <c r="I366" s="12" t="str">
        <f>VLOOKUP(InputData[[#This Row],[PRODUCT ID]],MasterData[],4,0)</f>
        <v>No.</v>
      </c>
      <c r="J366" s="14">
        <f>VLOOKUP(InputData[[#This Row],[PRODUCT ID]],MasterData[],5,0)</f>
        <v>12</v>
      </c>
      <c r="K366" s="14">
        <f>VLOOKUP(InputData[[#This Row],[PRODUCT ID]],MasterData[],5,0)</f>
        <v>12</v>
      </c>
      <c r="L366" s="14">
        <f>InputData[[#This Row],[BUYING PRIZE]]*InputData[[#This Row],[QUANTITY]]</f>
        <v>144</v>
      </c>
      <c r="M366" s="14">
        <f>InputData[[#This Row],[SELLING PRICE]]*InputData[[#This Row],[QUANTITY]]*(1-InputData[[#This Row],[DISCOUNT %]])</f>
        <v>144</v>
      </c>
      <c r="N366" s="12">
        <f>DAY(InputData[[#This Row],[DATE]])</f>
        <v>22</v>
      </c>
      <c r="O366" s="12" t="str">
        <f>TEXT(InputData[[#This Row],[DATE]],"mmm")</f>
        <v>May</v>
      </c>
      <c r="P366" s="12">
        <f>YEAR(InputData[[#This Row],[DATE]])</f>
        <v>2022</v>
      </c>
      <c r="Q366" s="12"/>
    </row>
    <row r="367" spans="1:17" x14ac:dyDescent="0.3">
      <c r="A367" s="10">
        <v>44706</v>
      </c>
      <c r="B367" s="11" t="s">
        <v>10</v>
      </c>
      <c r="C367" s="12">
        <v>7</v>
      </c>
      <c r="D367" s="12" t="s">
        <v>106</v>
      </c>
      <c r="E367" s="12" t="s">
        <v>106</v>
      </c>
      <c r="F367" s="13">
        <v>0</v>
      </c>
      <c r="G367" s="12" t="str">
        <f>VLOOKUP(InputData[[#This Row],[PRODUCT ID]],MasterData[],2,0)</f>
        <v>Product02</v>
      </c>
      <c r="H367" s="12" t="str">
        <f>VLOOKUP(InputData[[#This Row],[PRODUCT ID]],MasterData[],3,0)</f>
        <v>Category01</v>
      </c>
      <c r="I367" s="12" t="str">
        <f>VLOOKUP(InputData[[#This Row],[PRODUCT ID]],MasterData[],4,0)</f>
        <v>Kg</v>
      </c>
      <c r="J367" s="14">
        <f>VLOOKUP(InputData[[#This Row],[PRODUCT ID]],MasterData[],5,0)</f>
        <v>105</v>
      </c>
      <c r="K367" s="14">
        <f>VLOOKUP(InputData[[#This Row],[PRODUCT ID]],MasterData[],5,0)</f>
        <v>105</v>
      </c>
      <c r="L367" s="14">
        <f>InputData[[#This Row],[BUYING PRIZE]]*InputData[[#This Row],[QUANTITY]]</f>
        <v>735</v>
      </c>
      <c r="M367" s="14">
        <f>InputData[[#This Row],[SELLING PRICE]]*InputData[[#This Row],[QUANTITY]]*(1-InputData[[#This Row],[DISCOUNT %]])</f>
        <v>735</v>
      </c>
      <c r="N367" s="12">
        <f>DAY(InputData[[#This Row],[DATE]])</f>
        <v>25</v>
      </c>
      <c r="O367" s="12" t="str">
        <f>TEXT(InputData[[#This Row],[DATE]],"mmm")</f>
        <v>May</v>
      </c>
      <c r="P367" s="12">
        <f>YEAR(InputData[[#This Row],[DATE]])</f>
        <v>2022</v>
      </c>
      <c r="Q367" s="12"/>
    </row>
    <row r="368" spans="1:17" x14ac:dyDescent="0.3">
      <c r="A368" s="10">
        <v>44707</v>
      </c>
      <c r="B368" s="11" t="s">
        <v>65</v>
      </c>
      <c r="C368" s="12">
        <v>2</v>
      </c>
      <c r="D368" s="12" t="s">
        <v>108</v>
      </c>
      <c r="E368" s="12" t="s">
        <v>106</v>
      </c>
      <c r="F368" s="13">
        <v>0</v>
      </c>
      <c r="G368" s="12" t="str">
        <f>VLOOKUP(InputData[[#This Row],[PRODUCT ID]],MasterData[],2,0)</f>
        <v>Product28</v>
      </c>
      <c r="H368" s="12" t="str">
        <f>VLOOKUP(InputData[[#This Row],[PRODUCT ID]],MasterData[],3,0)</f>
        <v>Category04</v>
      </c>
      <c r="I368" s="12" t="str">
        <f>VLOOKUP(InputData[[#This Row],[PRODUCT ID]],MasterData[],4,0)</f>
        <v>No.</v>
      </c>
      <c r="J368" s="14">
        <f>VLOOKUP(InputData[[#This Row],[PRODUCT ID]],MasterData[],5,0)</f>
        <v>37</v>
      </c>
      <c r="K368" s="14">
        <f>VLOOKUP(InputData[[#This Row],[PRODUCT ID]],MasterData[],5,0)</f>
        <v>37</v>
      </c>
      <c r="L368" s="14">
        <f>InputData[[#This Row],[BUYING PRIZE]]*InputData[[#This Row],[QUANTITY]]</f>
        <v>74</v>
      </c>
      <c r="M368" s="14">
        <f>InputData[[#This Row],[SELLING PRICE]]*InputData[[#This Row],[QUANTITY]]*(1-InputData[[#This Row],[DISCOUNT %]])</f>
        <v>74</v>
      </c>
      <c r="N368" s="12">
        <f>DAY(InputData[[#This Row],[DATE]])</f>
        <v>26</v>
      </c>
      <c r="O368" s="12" t="str">
        <f>TEXT(InputData[[#This Row],[DATE]],"mmm")</f>
        <v>May</v>
      </c>
      <c r="P368" s="12">
        <f>YEAR(InputData[[#This Row],[DATE]])</f>
        <v>2022</v>
      </c>
      <c r="Q368" s="12"/>
    </row>
    <row r="369" spans="1:17" x14ac:dyDescent="0.3">
      <c r="A369" s="10">
        <v>44707</v>
      </c>
      <c r="B369" s="11" t="s">
        <v>63</v>
      </c>
      <c r="C369" s="12">
        <v>2</v>
      </c>
      <c r="D369" s="12" t="s">
        <v>106</v>
      </c>
      <c r="E369" s="12" t="s">
        <v>106</v>
      </c>
      <c r="F369" s="13">
        <v>0</v>
      </c>
      <c r="G369" s="12" t="str">
        <f>VLOOKUP(InputData[[#This Row],[PRODUCT ID]],MasterData[],2,0)</f>
        <v>Product27</v>
      </c>
      <c r="H369" s="12" t="str">
        <f>VLOOKUP(InputData[[#This Row],[PRODUCT ID]],MasterData[],3,0)</f>
        <v>Category04</v>
      </c>
      <c r="I369" s="12" t="str">
        <f>VLOOKUP(InputData[[#This Row],[PRODUCT ID]],MasterData[],4,0)</f>
        <v>Lt</v>
      </c>
      <c r="J369" s="14">
        <f>VLOOKUP(InputData[[#This Row],[PRODUCT ID]],MasterData[],5,0)</f>
        <v>48</v>
      </c>
      <c r="K369" s="14">
        <f>VLOOKUP(InputData[[#This Row],[PRODUCT ID]],MasterData[],5,0)</f>
        <v>48</v>
      </c>
      <c r="L369" s="14">
        <f>InputData[[#This Row],[BUYING PRIZE]]*InputData[[#This Row],[QUANTITY]]</f>
        <v>96</v>
      </c>
      <c r="M369" s="14">
        <f>InputData[[#This Row],[SELLING PRICE]]*InputData[[#This Row],[QUANTITY]]*(1-InputData[[#This Row],[DISCOUNT %]])</f>
        <v>96</v>
      </c>
      <c r="N369" s="12">
        <f>DAY(InputData[[#This Row],[DATE]])</f>
        <v>26</v>
      </c>
      <c r="O369" s="12" t="str">
        <f>TEXT(InputData[[#This Row],[DATE]],"mmm")</f>
        <v>May</v>
      </c>
      <c r="P369" s="12">
        <f>YEAR(InputData[[#This Row],[DATE]])</f>
        <v>2022</v>
      </c>
      <c r="Q369" s="12"/>
    </row>
    <row r="370" spans="1:17" x14ac:dyDescent="0.3">
      <c r="A370" s="10">
        <v>44709</v>
      </c>
      <c r="B370" s="11" t="s">
        <v>92</v>
      </c>
      <c r="C370" s="12">
        <v>10</v>
      </c>
      <c r="D370" s="12" t="s">
        <v>105</v>
      </c>
      <c r="E370" s="12" t="s">
        <v>107</v>
      </c>
      <c r="F370" s="13">
        <v>0</v>
      </c>
      <c r="G370" s="12" t="str">
        <f>VLOOKUP(InputData[[#This Row],[PRODUCT ID]],MasterData[],2,0)</f>
        <v>Product41</v>
      </c>
      <c r="H370" s="12" t="str">
        <f>VLOOKUP(InputData[[#This Row],[PRODUCT ID]],MasterData[],3,0)</f>
        <v>Category05</v>
      </c>
      <c r="I370" s="12" t="str">
        <f>VLOOKUP(InputData[[#This Row],[PRODUCT ID]],MasterData[],4,0)</f>
        <v>Ft</v>
      </c>
      <c r="J370" s="14">
        <f>VLOOKUP(InputData[[#This Row],[PRODUCT ID]],MasterData[],5,0)</f>
        <v>138</v>
      </c>
      <c r="K370" s="14">
        <f>VLOOKUP(InputData[[#This Row],[PRODUCT ID]],MasterData[],5,0)</f>
        <v>138</v>
      </c>
      <c r="L370" s="14">
        <f>InputData[[#This Row],[BUYING PRIZE]]*InputData[[#This Row],[QUANTITY]]</f>
        <v>1380</v>
      </c>
      <c r="M370" s="14">
        <f>InputData[[#This Row],[SELLING PRICE]]*InputData[[#This Row],[QUANTITY]]*(1-InputData[[#This Row],[DISCOUNT %]])</f>
        <v>1380</v>
      </c>
      <c r="N370" s="12">
        <f>DAY(InputData[[#This Row],[DATE]])</f>
        <v>28</v>
      </c>
      <c r="O370" s="12" t="str">
        <f>TEXT(InputData[[#This Row],[DATE]],"mmm")</f>
        <v>May</v>
      </c>
      <c r="P370" s="12">
        <f>YEAR(InputData[[#This Row],[DATE]])</f>
        <v>2022</v>
      </c>
      <c r="Q370" s="12"/>
    </row>
    <row r="371" spans="1:17" x14ac:dyDescent="0.3">
      <c r="A371" s="10">
        <v>44709</v>
      </c>
      <c r="B371" s="11" t="s">
        <v>22</v>
      </c>
      <c r="C371" s="12">
        <v>5</v>
      </c>
      <c r="D371" s="12" t="s">
        <v>105</v>
      </c>
      <c r="E371" s="12" t="s">
        <v>106</v>
      </c>
      <c r="F371" s="13">
        <v>0</v>
      </c>
      <c r="G371" s="12" t="str">
        <f>VLOOKUP(InputData[[#This Row],[PRODUCT ID]],MasterData[],2,0)</f>
        <v>Product08</v>
      </c>
      <c r="H371" s="12" t="str">
        <f>VLOOKUP(InputData[[#This Row],[PRODUCT ID]],MasterData[],3,0)</f>
        <v>Category01</v>
      </c>
      <c r="I371" s="12" t="str">
        <f>VLOOKUP(InputData[[#This Row],[PRODUCT ID]],MasterData[],4,0)</f>
        <v>Kg</v>
      </c>
      <c r="J371" s="14">
        <f>VLOOKUP(InputData[[#This Row],[PRODUCT ID]],MasterData[],5,0)</f>
        <v>83</v>
      </c>
      <c r="K371" s="14">
        <f>VLOOKUP(InputData[[#This Row],[PRODUCT ID]],MasterData[],5,0)</f>
        <v>83</v>
      </c>
      <c r="L371" s="14">
        <f>InputData[[#This Row],[BUYING PRIZE]]*InputData[[#This Row],[QUANTITY]]</f>
        <v>415</v>
      </c>
      <c r="M371" s="14">
        <f>InputData[[#This Row],[SELLING PRICE]]*InputData[[#This Row],[QUANTITY]]*(1-InputData[[#This Row],[DISCOUNT %]])</f>
        <v>415</v>
      </c>
      <c r="N371" s="12">
        <f>DAY(InputData[[#This Row],[DATE]])</f>
        <v>28</v>
      </c>
      <c r="O371" s="12" t="str">
        <f>TEXT(InputData[[#This Row],[DATE]],"mmm")</f>
        <v>May</v>
      </c>
      <c r="P371" s="12">
        <f>YEAR(InputData[[#This Row],[DATE]])</f>
        <v>2022</v>
      </c>
      <c r="Q371" s="12"/>
    </row>
    <row r="372" spans="1:17" x14ac:dyDescent="0.3">
      <c r="A372" s="10">
        <v>44709</v>
      </c>
      <c r="B372" s="11" t="s">
        <v>26</v>
      </c>
      <c r="C372" s="12">
        <v>9</v>
      </c>
      <c r="D372" s="12" t="s">
        <v>106</v>
      </c>
      <c r="E372" s="12" t="s">
        <v>107</v>
      </c>
      <c r="F372" s="13">
        <v>0</v>
      </c>
      <c r="G372" s="12" t="str">
        <f>VLOOKUP(InputData[[#This Row],[PRODUCT ID]],MasterData[],2,0)</f>
        <v>Product10</v>
      </c>
      <c r="H372" s="12" t="str">
        <f>VLOOKUP(InputData[[#This Row],[PRODUCT ID]],MasterData[],3,0)</f>
        <v>Category02</v>
      </c>
      <c r="I372" s="12" t="str">
        <f>VLOOKUP(InputData[[#This Row],[PRODUCT ID]],MasterData[],4,0)</f>
        <v>Ft</v>
      </c>
      <c r="J372" s="14">
        <f>VLOOKUP(InputData[[#This Row],[PRODUCT ID]],MasterData[],5,0)</f>
        <v>148</v>
      </c>
      <c r="K372" s="14">
        <f>VLOOKUP(InputData[[#This Row],[PRODUCT ID]],MasterData[],5,0)</f>
        <v>148</v>
      </c>
      <c r="L372" s="14">
        <f>InputData[[#This Row],[BUYING PRIZE]]*InputData[[#This Row],[QUANTITY]]</f>
        <v>1332</v>
      </c>
      <c r="M372" s="14">
        <f>InputData[[#This Row],[SELLING PRICE]]*InputData[[#This Row],[QUANTITY]]*(1-InputData[[#This Row],[DISCOUNT %]])</f>
        <v>1332</v>
      </c>
      <c r="N372" s="12">
        <f>DAY(InputData[[#This Row],[DATE]])</f>
        <v>28</v>
      </c>
      <c r="O372" s="12" t="str">
        <f>TEXT(InputData[[#This Row],[DATE]],"mmm")</f>
        <v>May</v>
      </c>
      <c r="P372" s="12">
        <f>YEAR(InputData[[#This Row],[DATE]])</f>
        <v>2022</v>
      </c>
      <c r="Q372" s="12"/>
    </row>
    <row r="373" spans="1:17" x14ac:dyDescent="0.3">
      <c r="A373" s="10">
        <v>44709</v>
      </c>
      <c r="B373" s="11" t="s">
        <v>14</v>
      </c>
      <c r="C373" s="12">
        <v>12</v>
      </c>
      <c r="D373" s="12" t="s">
        <v>106</v>
      </c>
      <c r="E373" s="12" t="s">
        <v>106</v>
      </c>
      <c r="F373" s="13">
        <v>0</v>
      </c>
      <c r="G373" s="12" t="str">
        <f>VLOOKUP(InputData[[#This Row],[PRODUCT ID]],MasterData[],2,0)</f>
        <v>Product04</v>
      </c>
      <c r="H373" s="12" t="str">
        <f>VLOOKUP(InputData[[#This Row],[PRODUCT ID]],MasterData[],3,0)</f>
        <v>Category01</v>
      </c>
      <c r="I373" s="12" t="str">
        <f>VLOOKUP(InputData[[#This Row],[PRODUCT ID]],MasterData[],4,0)</f>
        <v>Lt</v>
      </c>
      <c r="J373" s="14">
        <f>VLOOKUP(InputData[[#This Row],[PRODUCT ID]],MasterData[],5,0)</f>
        <v>44</v>
      </c>
      <c r="K373" s="14">
        <f>VLOOKUP(InputData[[#This Row],[PRODUCT ID]],MasterData[],5,0)</f>
        <v>44</v>
      </c>
      <c r="L373" s="14">
        <f>InputData[[#This Row],[BUYING PRIZE]]*InputData[[#This Row],[QUANTITY]]</f>
        <v>528</v>
      </c>
      <c r="M373" s="14">
        <f>InputData[[#This Row],[SELLING PRICE]]*InputData[[#This Row],[QUANTITY]]*(1-InputData[[#This Row],[DISCOUNT %]])</f>
        <v>528</v>
      </c>
      <c r="N373" s="12">
        <f>DAY(InputData[[#This Row],[DATE]])</f>
        <v>28</v>
      </c>
      <c r="O373" s="12" t="str">
        <f>TEXT(InputData[[#This Row],[DATE]],"mmm")</f>
        <v>May</v>
      </c>
      <c r="P373" s="12">
        <f>YEAR(InputData[[#This Row],[DATE]])</f>
        <v>2022</v>
      </c>
      <c r="Q373" s="12"/>
    </row>
    <row r="374" spans="1:17" x14ac:dyDescent="0.3">
      <c r="A374" s="10">
        <v>44709</v>
      </c>
      <c r="B374" s="11" t="s">
        <v>47</v>
      </c>
      <c r="C374" s="12">
        <v>14</v>
      </c>
      <c r="D374" s="12" t="s">
        <v>108</v>
      </c>
      <c r="E374" s="12" t="s">
        <v>107</v>
      </c>
      <c r="F374" s="13">
        <v>0</v>
      </c>
      <c r="G374" s="12" t="str">
        <f>VLOOKUP(InputData[[#This Row],[PRODUCT ID]],MasterData[],2,0)</f>
        <v>Product20</v>
      </c>
      <c r="H374" s="12" t="str">
        <f>VLOOKUP(InputData[[#This Row],[PRODUCT ID]],MasterData[],3,0)</f>
        <v>Category03</v>
      </c>
      <c r="I374" s="12" t="str">
        <f>VLOOKUP(InputData[[#This Row],[PRODUCT ID]],MasterData[],4,0)</f>
        <v>Lt</v>
      </c>
      <c r="J374" s="14">
        <f>VLOOKUP(InputData[[#This Row],[PRODUCT ID]],MasterData[],5,0)</f>
        <v>61</v>
      </c>
      <c r="K374" s="14">
        <f>VLOOKUP(InputData[[#This Row],[PRODUCT ID]],MasterData[],5,0)</f>
        <v>61</v>
      </c>
      <c r="L374" s="14">
        <f>InputData[[#This Row],[BUYING PRIZE]]*InputData[[#This Row],[QUANTITY]]</f>
        <v>854</v>
      </c>
      <c r="M374" s="14">
        <f>InputData[[#This Row],[SELLING PRICE]]*InputData[[#This Row],[QUANTITY]]*(1-InputData[[#This Row],[DISCOUNT %]])</f>
        <v>854</v>
      </c>
      <c r="N374" s="12">
        <f>DAY(InputData[[#This Row],[DATE]])</f>
        <v>28</v>
      </c>
      <c r="O374" s="12" t="str">
        <f>TEXT(InputData[[#This Row],[DATE]],"mmm")</f>
        <v>May</v>
      </c>
      <c r="P374" s="12">
        <f>YEAR(InputData[[#This Row],[DATE]])</f>
        <v>2022</v>
      </c>
      <c r="Q374" s="12"/>
    </row>
    <row r="375" spans="1:17" x14ac:dyDescent="0.3">
      <c r="A375" s="10">
        <v>44711</v>
      </c>
      <c r="B375" s="11" t="s">
        <v>98</v>
      </c>
      <c r="C375" s="12">
        <v>9</v>
      </c>
      <c r="D375" s="12" t="s">
        <v>108</v>
      </c>
      <c r="E375" s="12" t="s">
        <v>106</v>
      </c>
      <c r="F375" s="13">
        <v>0</v>
      </c>
      <c r="G375" s="12" t="str">
        <f>VLOOKUP(InputData[[#This Row],[PRODUCT ID]],MasterData[],2,0)</f>
        <v>Product44</v>
      </c>
      <c r="H375" s="12" t="str">
        <f>VLOOKUP(InputData[[#This Row],[PRODUCT ID]],MasterData[],3,0)</f>
        <v>Category05</v>
      </c>
      <c r="I375" s="12" t="str">
        <f>VLOOKUP(InputData[[#This Row],[PRODUCT ID]],MasterData[],4,0)</f>
        <v>Kg</v>
      </c>
      <c r="J375" s="14">
        <f>VLOOKUP(InputData[[#This Row],[PRODUCT ID]],MasterData[],5,0)</f>
        <v>76</v>
      </c>
      <c r="K375" s="14">
        <f>VLOOKUP(InputData[[#This Row],[PRODUCT ID]],MasterData[],5,0)</f>
        <v>76</v>
      </c>
      <c r="L375" s="14">
        <f>InputData[[#This Row],[BUYING PRIZE]]*InputData[[#This Row],[QUANTITY]]</f>
        <v>684</v>
      </c>
      <c r="M375" s="14">
        <f>InputData[[#This Row],[SELLING PRICE]]*InputData[[#This Row],[QUANTITY]]*(1-InputData[[#This Row],[DISCOUNT %]])</f>
        <v>684</v>
      </c>
      <c r="N375" s="12">
        <f>DAY(InputData[[#This Row],[DATE]])</f>
        <v>30</v>
      </c>
      <c r="O375" s="12" t="str">
        <f>TEXT(InputData[[#This Row],[DATE]],"mmm")</f>
        <v>May</v>
      </c>
      <c r="P375" s="12">
        <f>YEAR(InputData[[#This Row],[DATE]])</f>
        <v>2022</v>
      </c>
      <c r="Q375" s="12"/>
    </row>
    <row r="376" spans="1:17" x14ac:dyDescent="0.3">
      <c r="A376" s="10">
        <v>44711</v>
      </c>
      <c r="B376" s="11" t="s">
        <v>16</v>
      </c>
      <c r="C376" s="12">
        <v>4</v>
      </c>
      <c r="D376" s="12" t="s">
        <v>105</v>
      </c>
      <c r="E376" s="12" t="s">
        <v>107</v>
      </c>
      <c r="F376" s="13">
        <v>0</v>
      </c>
      <c r="G376" s="12" t="str">
        <f>VLOOKUP(InputData[[#This Row],[PRODUCT ID]],MasterData[],2,0)</f>
        <v>Product05</v>
      </c>
      <c r="H376" s="12" t="str">
        <f>VLOOKUP(InputData[[#This Row],[PRODUCT ID]],MasterData[],3,0)</f>
        <v>Category01</v>
      </c>
      <c r="I376" s="12" t="str">
        <f>VLOOKUP(InputData[[#This Row],[PRODUCT ID]],MasterData[],4,0)</f>
        <v>Ft</v>
      </c>
      <c r="J376" s="14">
        <f>VLOOKUP(InputData[[#This Row],[PRODUCT ID]],MasterData[],5,0)</f>
        <v>133</v>
      </c>
      <c r="K376" s="14">
        <f>VLOOKUP(InputData[[#This Row],[PRODUCT ID]],MasterData[],5,0)</f>
        <v>133</v>
      </c>
      <c r="L376" s="14">
        <f>InputData[[#This Row],[BUYING PRIZE]]*InputData[[#This Row],[QUANTITY]]</f>
        <v>532</v>
      </c>
      <c r="M376" s="14">
        <f>InputData[[#This Row],[SELLING PRICE]]*InputData[[#This Row],[QUANTITY]]*(1-InputData[[#This Row],[DISCOUNT %]])</f>
        <v>532</v>
      </c>
      <c r="N376" s="12">
        <f>DAY(InputData[[#This Row],[DATE]])</f>
        <v>30</v>
      </c>
      <c r="O376" s="12" t="str">
        <f>TEXT(InputData[[#This Row],[DATE]],"mmm")</f>
        <v>May</v>
      </c>
      <c r="P376" s="12">
        <f>YEAR(InputData[[#This Row],[DATE]])</f>
        <v>2022</v>
      </c>
      <c r="Q376" s="12"/>
    </row>
    <row r="377" spans="1:17" x14ac:dyDescent="0.3">
      <c r="A377" s="10">
        <v>44711</v>
      </c>
      <c r="B377" s="11" t="s">
        <v>75</v>
      </c>
      <c r="C377" s="12">
        <v>3</v>
      </c>
      <c r="D377" s="12" t="s">
        <v>106</v>
      </c>
      <c r="E377" s="12" t="s">
        <v>107</v>
      </c>
      <c r="F377" s="13">
        <v>0</v>
      </c>
      <c r="G377" s="12" t="str">
        <f>VLOOKUP(InputData[[#This Row],[PRODUCT ID]],MasterData[],2,0)</f>
        <v>Product33</v>
      </c>
      <c r="H377" s="12" t="str">
        <f>VLOOKUP(InputData[[#This Row],[PRODUCT ID]],MasterData[],3,0)</f>
        <v>Category04</v>
      </c>
      <c r="I377" s="12" t="str">
        <f>VLOOKUP(InputData[[#This Row],[PRODUCT ID]],MasterData[],4,0)</f>
        <v>Kg</v>
      </c>
      <c r="J377" s="14">
        <f>VLOOKUP(InputData[[#This Row],[PRODUCT ID]],MasterData[],5,0)</f>
        <v>95</v>
      </c>
      <c r="K377" s="14">
        <f>VLOOKUP(InputData[[#This Row],[PRODUCT ID]],MasterData[],5,0)</f>
        <v>95</v>
      </c>
      <c r="L377" s="14">
        <f>InputData[[#This Row],[BUYING PRIZE]]*InputData[[#This Row],[QUANTITY]]</f>
        <v>285</v>
      </c>
      <c r="M377" s="14">
        <f>InputData[[#This Row],[SELLING PRICE]]*InputData[[#This Row],[QUANTITY]]*(1-InputData[[#This Row],[DISCOUNT %]])</f>
        <v>285</v>
      </c>
      <c r="N377" s="12">
        <f>DAY(InputData[[#This Row],[DATE]])</f>
        <v>30</v>
      </c>
      <c r="O377" s="12" t="str">
        <f>TEXT(InputData[[#This Row],[DATE]],"mmm")</f>
        <v>May</v>
      </c>
      <c r="P377" s="12">
        <f>YEAR(InputData[[#This Row],[DATE]])</f>
        <v>2022</v>
      </c>
      <c r="Q377" s="12"/>
    </row>
    <row r="378" spans="1:17" x14ac:dyDescent="0.3">
      <c r="A378" s="10">
        <v>44715</v>
      </c>
      <c r="B378" s="11" t="s">
        <v>22</v>
      </c>
      <c r="C378" s="12">
        <v>14</v>
      </c>
      <c r="D378" s="12" t="s">
        <v>106</v>
      </c>
      <c r="E378" s="12" t="s">
        <v>106</v>
      </c>
      <c r="F378" s="13">
        <v>0</v>
      </c>
      <c r="G378" s="12" t="str">
        <f>VLOOKUP(InputData[[#This Row],[PRODUCT ID]],MasterData[],2,0)</f>
        <v>Product08</v>
      </c>
      <c r="H378" s="12" t="str">
        <f>VLOOKUP(InputData[[#This Row],[PRODUCT ID]],MasterData[],3,0)</f>
        <v>Category01</v>
      </c>
      <c r="I378" s="12" t="str">
        <f>VLOOKUP(InputData[[#This Row],[PRODUCT ID]],MasterData[],4,0)</f>
        <v>Kg</v>
      </c>
      <c r="J378" s="14">
        <f>VLOOKUP(InputData[[#This Row],[PRODUCT ID]],MasterData[],5,0)</f>
        <v>83</v>
      </c>
      <c r="K378" s="14">
        <f>VLOOKUP(InputData[[#This Row],[PRODUCT ID]],MasterData[],5,0)</f>
        <v>83</v>
      </c>
      <c r="L378" s="14">
        <f>InputData[[#This Row],[BUYING PRIZE]]*InputData[[#This Row],[QUANTITY]]</f>
        <v>1162</v>
      </c>
      <c r="M378" s="14">
        <f>InputData[[#This Row],[SELLING PRICE]]*InputData[[#This Row],[QUANTITY]]*(1-InputData[[#This Row],[DISCOUNT %]])</f>
        <v>1162</v>
      </c>
      <c r="N378" s="12">
        <f>DAY(InputData[[#This Row],[DATE]])</f>
        <v>3</v>
      </c>
      <c r="O378" s="12" t="str">
        <f>TEXT(InputData[[#This Row],[DATE]],"mmm")</f>
        <v>Jun</v>
      </c>
      <c r="P378" s="12">
        <f>YEAR(InputData[[#This Row],[DATE]])</f>
        <v>2022</v>
      </c>
      <c r="Q378" s="12"/>
    </row>
    <row r="379" spans="1:17" x14ac:dyDescent="0.3">
      <c r="A379" s="10">
        <v>44722</v>
      </c>
      <c r="B379" s="11" t="s">
        <v>65</v>
      </c>
      <c r="C379" s="12">
        <v>8</v>
      </c>
      <c r="D379" s="12" t="s">
        <v>105</v>
      </c>
      <c r="E379" s="12" t="s">
        <v>106</v>
      </c>
      <c r="F379" s="13">
        <v>0</v>
      </c>
      <c r="G379" s="12" t="str">
        <f>VLOOKUP(InputData[[#This Row],[PRODUCT ID]],MasterData[],2,0)</f>
        <v>Product28</v>
      </c>
      <c r="H379" s="12" t="str">
        <f>VLOOKUP(InputData[[#This Row],[PRODUCT ID]],MasterData[],3,0)</f>
        <v>Category04</v>
      </c>
      <c r="I379" s="12" t="str">
        <f>VLOOKUP(InputData[[#This Row],[PRODUCT ID]],MasterData[],4,0)</f>
        <v>No.</v>
      </c>
      <c r="J379" s="14">
        <f>VLOOKUP(InputData[[#This Row],[PRODUCT ID]],MasterData[],5,0)</f>
        <v>37</v>
      </c>
      <c r="K379" s="14">
        <f>VLOOKUP(InputData[[#This Row],[PRODUCT ID]],MasterData[],5,0)</f>
        <v>37</v>
      </c>
      <c r="L379" s="14">
        <f>InputData[[#This Row],[BUYING PRIZE]]*InputData[[#This Row],[QUANTITY]]</f>
        <v>296</v>
      </c>
      <c r="M379" s="14">
        <f>InputData[[#This Row],[SELLING PRICE]]*InputData[[#This Row],[QUANTITY]]*(1-InputData[[#This Row],[DISCOUNT %]])</f>
        <v>296</v>
      </c>
      <c r="N379" s="12">
        <f>DAY(InputData[[#This Row],[DATE]])</f>
        <v>10</v>
      </c>
      <c r="O379" s="12" t="str">
        <f>TEXT(InputData[[#This Row],[DATE]],"mmm")</f>
        <v>Jun</v>
      </c>
      <c r="P379" s="12">
        <f>YEAR(InputData[[#This Row],[DATE]])</f>
        <v>2022</v>
      </c>
      <c r="Q379" s="12"/>
    </row>
    <row r="380" spans="1:17" x14ac:dyDescent="0.3">
      <c r="A380" s="10">
        <v>44723</v>
      </c>
      <c r="B380" s="11" t="s">
        <v>88</v>
      </c>
      <c r="C380" s="12">
        <v>13</v>
      </c>
      <c r="D380" s="12" t="s">
        <v>106</v>
      </c>
      <c r="E380" s="12" t="s">
        <v>107</v>
      </c>
      <c r="F380" s="13">
        <v>0</v>
      </c>
      <c r="G380" s="12" t="str">
        <f>VLOOKUP(InputData[[#This Row],[PRODUCT ID]],MasterData[],2,0)</f>
        <v>Product39</v>
      </c>
      <c r="H380" s="12" t="str">
        <f>VLOOKUP(InputData[[#This Row],[PRODUCT ID]],MasterData[],3,0)</f>
        <v>Category05</v>
      </c>
      <c r="I380" s="12" t="str">
        <f>VLOOKUP(InputData[[#This Row],[PRODUCT ID]],MasterData[],4,0)</f>
        <v>No.</v>
      </c>
      <c r="J380" s="14">
        <f>VLOOKUP(InputData[[#This Row],[PRODUCT ID]],MasterData[],5,0)</f>
        <v>37</v>
      </c>
      <c r="K380" s="14">
        <f>VLOOKUP(InputData[[#This Row],[PRODUCT ID]],MasterData[],5,0)</f>
        <v>37</v>
      </c>
      <c r="L380" s="14">
        <f>InputData[[#This Row],[BUYING PRIZE]]*InputData[[#This Row],[QUANTITY]]</f>
        <v>481</v>
      </c>
      <c r="M380" s="14">
        <f>InputData[[#This Row],[SELLING PRICE]]*InputData[[#This Row],[QUANTITY]]*(1-InputData[[#This Row],[DISCOUNT %]])</f>
        <v>481</v>
      </c>
      <c r="N380" s="12">
        <f>DAY(InputData[[#This Row],[DATE]])</f>
        <v>11</v>
      </c>
      <c r="O380" s="12" t="str">
        <f>TEXT(InputData[[#This Row],[DATE]],"mmm")</f>
        <v>Jun</v>
      </c>
      <c r="P380" s="12">
        <f>YEAR(InputData[[#This Row],[DATE]])</f>
        <v>2022</v>
      </c>
      <c r="Q380" s="12"/>
    </row>
    <row r="381" spans="1:17" x14ac:dyDescent="0.3">
      <c r="A381" s="10">
        <v>44723</v>
      </c>
      <c r="B381" s="11" t="s">
        <v>50</v>
      </c>
      <c r="C381" s="12">
        <v>6</v>
      </c>
      <c r="D381" s="12" t="s">
        <v>108</v>
      </c>
      <c r="E381" s="12" t="s">
        <v>106</v>
      </c>
      <c r="F381" s="13">
        <v>0</v>
      </c>
      <c r="G381" s="12" t="str">
        <f>VLOOKUP(InputData[[#This Row],[PRODUCT ID]],MasterData[],2,0)</f>
        <v>Product21</v>
      </c>
      <c r="H381" s="12" t="str">
        <f>VLOOKUP(InputData[[#This Row],[PRODUCT ID]],MasterData[],3,0)</f>
        <v>Category03</v>
      </c>
      <c r="I381" s="12" t="str">
        <f>VLOOKUP(InputData[[#This Row],[PRODUCT ID]],MasterData[],4,0)</f>
        <v>Ft</v>
      </c>
      <c r="J381" s="14">
        <f>VLOOKUP(InputData[[#This Row],[PRODUCT ID]],MasterData[],5,0)</f>
        <v>126</v>
      </c>
      <c r="K381" s="14">
        <f>VLOOKUP(InputData[[#This Row],[PRODUCT ID]],MasterData[],5,0)</f>
        <v>126</v>
      </c>
      <c r="L381" s="14">
        <f>InputData[[#This Row],[BUYING PRIZE]]*InputData[[#This Row],[QUANTITY]]</f>
        <v>756</v>
      </c>
      <c r="M381" s="14">
        <f>InputData[[#This Row],[SELLING PRICE]]*InputData[[#This Row],[QUANTITY]]*(1-InputData[[#This Row],[DISCOUNT %]])</f>
        <v>756</v>
      </c>
      <c r="N381" s="12">
        <f>DAY(InputData[[#This Row],[DATE]])</f>
        <v>11</v>
      </c>
      <c r="O381" s="12" t="str">
        <f>TEXT(InputData[[#This Row],[DATE]],"mmm")</f>
        <v>Jun</v>
      </c>
      <c r="P381" s="12">
        <f>YEAR(InputData[[#This Row],[DATE]])</f>
        <v>2022</v>
      </c>
      <c r="Q381" s="12"/>
    </row>
    <row r="382" spans="1:17" x14ac:dyDescent="0.3">
      <c r="A382" s="10">
        <v>44725</v>
      </c>
      <c r="B382" s="11" t="s">
        <v>60</v>
      </c>
      <c r="C382" s="12">
        <v>6</v>
      </c>
      <c r="D382" s="12" t="s">
        <v>108</v>
      </c>
      <c r="E382" s="12" t="s">
        <v>107</v>
      </c>
      <c r="F382" s="13">
        <v>0</v>
      </c>
      <c r="G382" s="12" t="str">
        <f>VLOOKUP(InputData[[#This Row],[PRODUCT ID]],MasterData[],2,0)</f>
        <v>Product26</v>
      </c>
      <c r="H382" s="12" t="str">
        <f>VLOOKUP(InputData[[#This Row],[PRODUCT ID]],MasterData[],3,0)</f>
        <v>Category04</v>
      </c>
      <c r="I382" s="12" t="str">
        <f>VLOOKUP(InputData[[#This Row],[PRODUCT ID]],MasterData[],4,0)</f>
        <v>No.</v>
      </c>
      <c r="J382" s="14">
        <f>VLOOKUP(InputData[[#This Row],[PRODUCT ID]],MasterData[],5,0)</f>
        <v>18</v>
      </c>
      <c r="K382" s="14">
        <f>VLOOKUP(InputData[[#This Row],[PRODUCT ID]],MasterData[],5,0)</f>
        <v>18</v>
      </c>
      <c r="L382" s="14">
        <f>InputData[[#This Row],[BUYING PRIZE]]*InputData[[#This Row],[QUANTITY]]</f>
        <v>108</v>
      </c>
      <c r="M382" s="14">
        <f>InputData[[#This Row],[SELLING PRICE]]*InputData[[#This Row],[QUANTITY]]*(1-InputData[[#This Row],[DISCOUNT %]])</f>
        <v>108</v>
      </c>
      <c r="N382" s="12">
        <f>DAY(InputData[[#This Row],[DATE]])</f>
        <v>13</v>
      </c>
      <c r="O382" s="12" t="str">
        <f>TEXT(InputData[[#This Row],[DATE]],"mmm")</f>
        <v>Jun</v>
      </c>
      <c r="P382" s="12">
        <f>YEAR(InputData[[#This Row],[DATE]])</f>
        <v>2022</v>
      </c>
      <c r="Q382" s="12"/>
    </row>
    <row r="383" spans="1:17" x14ac:dyDescent="0.3">
      <c r="A383" s="10">
        <v>44727</v>
      </c>
      <c r="B383" s="11" t="s">
        <v>94</v>
      </c>
      <c r="C383" s="12">
        <v>15</v>
      </c>
      <c r="D383" s="12" t="s">
        <v>105</v>
      </c>
      <c r="E383" s="12" t="s">
        <v>106</v>
      </c>
      <c r="F383" s="13">
        <v>0</v>
      </c>
      <c r="G383" s="12" t="str">
        <f>VLOOKUP(InputData[[#This Row],[PRODUCT ID]],MasterData[],2,0)</f>
        <v>Product42</v>
      </c>
      <c r="H383" s="12" t="str">
        <f>VLOOKUP(InputData[[#This Row],[PRODUCT ID]],MasterData[],3,0)</f>
        <v>Category05</v>
      </c>
      <c r="I383" s="12" t="str">
        <f>VLOOKUP(InputData[[#This Row],[PRODUCT ID]],MasterData[],4,0)</f>
        <v>Ft</v>
      </c>
      <c r="J383" s="14">
        <f>VLOOKUP(InputData[[#This Row],[PRODUCT ID]],MasterData[],5,0)</f>
        <v>120</v>
      </c>
      <c r="K383" s="14">
        <f>VLOOKUP(InputData[[#This Row],[PRODUCT ID]],MasterData[],5,0)</f>
        <v>120</v>
      </c>
      <c r="L383" s="14">
        <f>InputData[[#This Row],[BUYING PRIZE]]*InputData[[#This Row],[QUANTITY]]</f>
        <v>1800</v>
      </c>
      <c r="M383" s="14">
        <f>InputData[[#This Row],[SELLING PRICE]]*InputData[[#This Row],[QUANTITY]]*(1-InputData[[#This Row],[DISCOUNT %]])</f>
        <v>1800</v>
      </c>
      <c r="N383" s="12">
        <f>DAY(InputData[[#This Row],[DATE]])</f>
        <v>15</v>
      </c>
      <c r="O383" s="12" t="str">
        <f>TEXT(InputData[[#This Row],[DATE]],"mmm")</f>
        <v>Jun</v>
      </c>
      <c r="P383" s="12">
        <f>YEAR(InputData[[#This Row],[DATE]])</f>
        <v>2022</v>
      </c>
      <c r="Q383" s="12"/>
    </row>
    <row r="384" spans="1:17" x14ac:dyDescent="0.3">
      <c r="A384" s="10">
        <v>44728</v>
      </c>
      <c r="B384" s="11" t="s">
        <v>67</v>
      </c>
      <c r="C384" s="12">
        <v>15</v>
      </c>
      <c r="D384" s="12" t="s">
        <v>106</v>
      </c>
      <c r="E384" s="12" t="s">
        <v>107</v>
      </c>
      <c r="F384" s="13">
        <v>0</v>
      </c>
      <c r="G384" s="12" t="str">
        <f>VLOOKUP(InputData[[#This Row],[PRODUCT ID]],MasterData[],2,0)</f>
        <v>Product29</v>
      </c>
      <c r="H384" s="12" t="str">
        <f>VLOOKUP(InputData[[#This Row],[PRODUCT ID]],MasterData[],3,0)</f>
        <v>Category04</v>
      </c>
      <c r="I384" s="12" t="str">
        <f>VLOOKUP(InputData[[#This Row],[PRODUCT ID]],MasterData[],4,0)</f>
        <v>Lt</v>
      </c>
      <c r="J384" s="14">
        <f>VLOOKUP(InputData[[#This Row],[PRODUCT ID]],MasterData[],5,0)</f>
        <v>47</v>
      </c>
      <c r="K384" s="14">
        <f>VLOOKUP(InputData[[#This Row],[PRODUCT ID]],MasterData[],5,0)</f>
        <v>47</v>
      </c>
      <c r="L384" s="14">
        <f>InputData[[#This Row],[BUYING PRIZE]]*InputData[[#This Row],[QUANTITY]]</f>
        <v>705</v>
      </c>
      <c r="M384" s="14">
        <f>InputData[[#This Row],[SELLING PRICE]]*InputData[[#This Row],[QUANTITY]]*(1-InputData[[#This Row],[DISCOUNT %]])</f>
        <v>705</v>
      </c>
      <c r="N384" s="12">
        <f>DAY(InputData[[#This Row],[DATE]])</f>
        <v>16</v>
      </c>
      <c r="O384" s="12" t="str">
        <f>TEXT(InputData[[#This Row],[DATE]],"mmm")</f>
        <v>Jun</v>
      </c>
      <c r="P384" s="12">
        <f>YEAR(InputData[[#This Row],[DATE]])</f>
        <v>2022</v>
      </c>
      <c r="Q384" s="12"/>
    </row>
    <row r="385" spans="1:17" x14ac:dyDescent="0.3">
      <c r="A385" s="10">
        <v>44731</v>
      </c>
      <c r="B385" s="11" t="s">
        <v>10</v>
      </c>
      <c r="C385" s="12">
        <v>8</v>
      </c>
      <c r="D385" s="12" t="s">
        <v>108</v>
      </c>
      <c r="E385" s="12" t="s">
        <v>107</v>
      </c>
      <c r="F385" s="13">
        <v>0</v>
      </c>
      <c r="G385" s="12" t="str">
        <f>VLOOKUP(InputData[[#This Row],[PRODUCT ID]],MasterData[],2,0)</f>
        <v>Product02</v>
      </c>
      <c r="H385" s="12" t="str">
        <f>VLOOKUP(InputData[[#This Row],[PRODUCT ID]],MasterData[],3,0)</f>
        <v>Category01</v>
      </c>
      <c r="I385" s="12" t="str">
        <f>VLOOKUP(InputData[[#This Row],[PRODUCT ID]],MasterData[],4,0)</f>
        <v>Kg</v>
      </c>
      <c r="J385" s="14">
        <f>VLOOKUP(InputData[[#This Row],[PRODUCT ID]],MasterData[],5,0)</f>
        <v>105</v>
      </c>
      <c r="K385" s="14">
        <f>VLOOKUP(InputData[[#This Row],[PRODUCT ID]],MasterData[],5,0)</f>
        <v>105</v>
      </c>
      <c r="L385" s="14">
        <f>InputData[[#This Row],[BUYING PRIZE]]*InputData[[#This Row],[QUANTITY]]</f>
        <v>840</v>
      </c>
      <c r="M385" s="14">
        <f>InputData[[#This Row],[SELLING PRICE]]*InputData[[#This Row],[QUANTITY]]*(1-InputData[[#This Row],[DISCOUNT %]])</f>
        <v>840</v>
      </c>
      <c r="N385" s="12">
        <f>DAY(InputData[[#This Row],[DATE]])</f>
        <v>19</v>
      </c>
      <c r="O385" s="12" t="str">
        <f>TEXT(InputData[[#This Row],[DATE]],"mmm")</f>
        <v>Jun</v>
      </c>
      <c r="P385" s="12">
        <f>YEAR(InputData[[#This Row],[DATE]])</f>
        <v>2022</v>
      </c>
      <c r="Q385" s="12"/>
    </row>
    <row r="386" spans="1:17" x14ac:dyDescent="0.3">
      <c r="A386" s="10">
        <v>44733</v>
      </c>
      <c r="B386" s="11" t="s">
        <v>41</v>
      </c>
      <c r="C386" s="12">
        <v>14</v>
      </c>
      <c r="D386" s="12" t="s">
        <v>108</v>
      </c>
      <c r="E386" s="12" t="s">
        <v>107</v>
      </c>
      <c r="F386" s="13">
        <v>0</v>
      </c>
      <c r="G386" s="12" t="str">
        <f>VLOOKUP(InputData[[#This Row],[PRODUCT ID]],MasterData[],2,0)</f>
        <v>Product17</v>
      </c>
      <c r="H386" s="12" t="str">
        <f>VLOOKUP(InputData[[#This Row],[PRODUCT ID]],MasterData[],3,0)</f>
        <v>Category02</v>
      </c>
      <c r="I386" s="12" t="str">
        <f>VLOOKUP(InputData[[#This Row],[PRODUCT ID]],MasterData[],4,0)</f>
        <v>Ft</v>
      </c>
      <c r="J386" s="14">
        <f>VLOOKUP(InputData[[#This Row],[PRODUCT ID]],MasterData[],5,0)</f>
        <v>134</v>
      </c>
      <c r="K386" s="14">
        <f>VLOOKUP(InputData[[#This Row],[PRODUCT ID]],MasterData[],5,0)</f>
        <v>134</v>
      </c>
      <c r="L386" s="14">
        <f>InputData[[#This Row],[BUYING PRIZE]]*InputData[[#This Row],[QUANTITY]]</f>
        <v>1876</v>
      </c>
      <c r="M386" s="14">
        <f>InputData[[#This Row],[SELLING PRICE]]*InputData[[#This Row],[QUANTITY]]*(1-InputData[[#This Row],[DISCOUNT %]])</f>
        <v>1876</v>
      </c>
      <c r="N386" s="12">
        <f>DAY(InputData[[#This Row],[DATE]])</f>
        <v>21</v>
      </c>
      <c r="O386" s="12" t="str">
        <f>TEXT(InputData[[#This Row],[DATE]],"mmm")</f>
        <v>Jun</v>
      </c>
      <c r="P386" s="12">
        <f>YEAR(InputData[[#This Row],[DATE]])</f>
        <v>2022</v>
      </c>
      <c r="Q386" s="12"/>
    </row>
    <row r="387" spans="1:17" x14ac:dyDescent="0.3">
      <c r="A387" s="10">
        <v>44734</v>
      </c>
      <c r="B387" s="11" t="s">
        <v>90</v>
      </c>
      <c r="C387" s="12">
        <v>10</v>
      </c>
      <c r="D387" s="12" t="s">
        <v>106</v>
      </c>
      <c r="E387" s="12" t="s">
        <v>107</v>
      </c>
      <c r="F387" s="13">
        <v>0</v>
      </c>
      <c r="G387" s="12" t="str">
        <f>VLOOKUP(InputData[[#This Row],[PRODUCT ID]],MasterData[],2,0)</f>
        <v>Product40</v>
      </c>
      <c r="H387" s="12" t="str">
        <f>VLOOKUP(InputData[[#This Row],[PRODUCT ID]],MasterData[],3,0)</f>
        <v>Category05</v>
      </c>
      <c r="I387" s="12" t="str">
        <f>VLOOKUP(InputData[[#This Row],[PRODUCT ID]],MasterData[],4,0)</f>
        <v>Kg</v>
      </c>
      <c r="J387" s="14">
        <f>VLOOKUP(InputData[[#This Row],[PRODUCT ID]],MasterData[],5,0)</f>
        <v>90</v>
      </c>
      <c r="K387" s="14">
        <f>VLOOKUP(InputData[[#This Row],[PRODUCT ID]],MasterData[],5,0)</f>
        <v>90</v>
      </c>
      <c r="L387" s="14">
        <f>InputData[[#This Row],[BUYING PRIZE]]*InputData[[#This Row],[QUANTITY]]</f>
        <v>900</v>
      </c>
      <c r="M387" s="14">
        <f>InputData[[#This Row],[SELLING PRICE]]*InputData[[#This Row],[QUANTITY]]*(1-InputData[[#This Row],[DISCOUNT %]])</f>
        <v>900</v>
      </c>
      <c r="N387" s="12">
        <f>DAY(InputData[[#This Row],[DATE]])</f>
        <v>22</v>
      </c>
      <c r="O387" s="12" t="str">
        <f>TEXT(InputData[[#This Row],[DATE]],"mmm")</f>
        <v>Jun</v>
      </c>
      <c r="P387" s="12">
        <f>YEAR(InputData[[#This Row],[DATE]])</f>
        <v>2022</v>
      </c>
      <c r="Q387" s="12"/>
    </row>
    <row r="388" spans="1:17" x14ac:dyDescent="0.3">
      <c r="A388" s="10">
        <v>44734</v>
      </c>
      <c r="B388" s="11" t="s">
        <v>6</v>
      </c>
      <c r="C388" s="12">
        <v>4</v>
      </c>
      <c r="D388" s="12" t="s">
        <v>108</v>
      </c>
      <c r="E388" s="12" t="s">
        <v>107</v>
      </c>
      <c r="F388" s="13">
        <v>0</v>
      </c>
      <c r="G388" s="12" t="str">
        <f>VLOOKUP(InputData[[#This Row],[PRODUCT ID]],MasterData[],2,0)</f>
        <v>Product01</v>
      </c>
      <c r="H388" s="12" t="str">
        <f>VLOOKUP(InputData[[#This Row],[PRODUCT ID]],MasterData[],3,0)</f>
        <v>Category01</v>
      </c>
      <c r="I388" s="12" t="str">
        <f>VLOOKUP(InputData[[#This Row],[PRODUCT ID]],MasterData[],4,0)</f>
        <v>Kg</v>
      </c>
      <c r="J388" s="14">
        <f>VLOOKUP(InputData[[#This Row],[PRODUCT ID]],MasterData[],5,0)</f>
        <v>98</v>
      </c>
      <c r="K388" s="14">
        <f>VLOOKUP(InputData[[#This Row],[PRODUCT ID]],MasterData[],5,0)</f>
        <v>98</v>
      </c>
      <c r="L388" s="14">
        <f>InputData[[#This Row],[BUYING PRIZE]]*InputData[[#This Row],[QUANTITY]]</f>
        <v>392</v>
      </c>
      <c r="M388" s="14">
        <f>InputData[[#This Row],[SELLING PRICE]]*InputData[[#This Row],[QUANTITY]]*(1-InputData[[#This Row],[DISCOUNT %]])</f>
        <v>392</v>
      </c>
      <c r="N388" s="12">
        <f>DAY(InputData[[#This Row],[DATE]])</f>
        <v>22</v>
      </c>
      <c r="O388" s="12" t="str">
        <f>TEXT(InputData[[#This Row],[DATE]],"mmm")</f>
        <v>Jun</v>
      </c>
      <c r="P388" s="12">
        <f>YEAR(InputData[[#This Row],[DATE]])</f>
        <v>2022</v>
      </c>
      <c r="Q388" s="12"/>
    </row>
    <row r="389" spans="1:17" x14ac:dyDescent="0.3">
      <c r="A389" s="10">
        <v>44735</v>
      </c>
      <c r="B389" s="11" t="s">
        <v>14</v>
      </c>
      <c r="C389" s="12">
        <v>8</v>
      </c>
      <c r="D389" s="12" t="s">
        <v>108</v>
      </c>
      <c r="E389" s="12" t="s">
        <v>106</v>
      </c>
      <c r="F389" s="13">
        <v>0</v>
      </c>
      <c r="G389" s="12" t="str">
        <f>VLOOKUP(InputData[[#This Row],[PRODUCT ID]],MasterData[],2,0)</f>
        <v>Product04</v>
      </c>
      <c r="H389" s="12" t="str">
        <f>VLOOKUP(InputData[[#This Row],[PRODUCT ID]],MasterData[],3,0)</f>
        <v>Category01</v>
      </c>
      <c r="I389" s="12" t="str">
        <f>VLOOKUP(InputData[[#This Row],[PRODUCT ID]],MasterData[],4,0)</f>
        <v>Lt</v>
      </c>
      <c r="J389" s="14">
        <f>VLOOKUP(InputData[[#This Row],[PRODUCT ID]],MasterData[],5,0)</f>
        <v>44</v>
      </c>
      <c r="K389" s="14">
        <f>VLOOKUP(InputData[[#This Row],[PRODUCT ID]],MasterData[],5,0)</f>
        <v>44</v>
      </c>
      <c r="L389" s="14">
        <f>InputData[[#This Row],[BUYING PRIZE]]*InputData[[#This Row],[QUANTITY]]</f>
        <v>352</v>
      </c>
      <c r="M389" s="14">
        <f>InputData[[#This Row],[SELLING PRICE]]*InputData[[#This Row],[QUANTITY]]*(1-InputData[[#This Row],[DISCOUNT %]])</f>
        <v>352</v>
      </c>
      <c r="N389" s="12">
        <f>DAY(InputData[[#This Row],[DATE]])</f>
        <v>23</v>
      </c>
      <c r="O389" s="12" t="str">
        <f>TEXT(InputData[[#This Row],[DATE]],"mmm")</f>
        <v>Jun</v>
      </c>
      <c r="P389" s="12">
        <f>YEAR(InputData[[#This Row],[DATE]])</f>
        <v>2022</v>
      </c>
      <c r="Q389" s="12"/>
    </row>
    <row r="390" spans="1:17" x14ac:dyDescent="0.3">
      <c r="A390" s="10">
        <v>44736</v>
      </c>
      <c r="B390" s="11" t="s">
        <v>43</v>
      </c>
      <c r="C390" s="12">
        <v>7</v>
      </c>
      <c r="D390" s="12" t="s">
        <v>108</v>
      </c>
      <c r="E390" s="12" t="s">
        <v>107</v>
      </c>
      <c r="F390" s="13">
        <v>0</v>
      </c>
      <c r="G390" s="12" t="str">
        <f>VLOOKUP(InputData[[#This Row],[PRODUCT ID]],MasterData[],2,0)</f>
        <v>Product18</v>
      </c>
      <c r="H390" s="12" t="str">
        <f>VLOOKUP(InputData[[#This Row],[PRODUCT ID]],MasterData[],3,0)</f>
        <v>Category02</v>
      </c>
      <c r="I390" s="12" t="str">
        <f>VLOOKUP(InputData[[#This Row],[PRODUCT ID]],MasterData[],4,0)</f>
        <v>No.</v>
      </c>
      <c r="J390" s="14">
        <f>VLOOKUP(InputData[[#This Row],[PRODUCT ID]],MasterData[],5,0)</f>
        <v>37</v>
      </c>
      <c r="K390" s="14">
        <f>VLOOKUP(InputData[[#This Row],[PRODUCT ID]],MasterData[],5,0)</f>
        <v>37</v>
      </c>
      <c r="L390" s="14">
        <f>InputData[[#This Row],[BUYING PRIZE]]*InputData[[#This Row],[QUANTITY]]</f>
        <v>259</v>
      </c>
      <c r="M390" s="14">
        <f>InputData[[#This Row],[SELLING PRICE]]*InputData[[#This Row],[QUANTITY]]*(1-InputData[[#This Row],[DISCOUNT %]])</f>
        <v>259</v>
      </c>
      <c r="N390" s="12">
        <f>DAY(InputData[[#This Row],[DATE]])</f>
        <v>24</v>
      </c>
      <c r="O390" s="12" t="str">
        <f>TEXT(InputData[[#This Row],[DATE]],"mmm")</f>
        <v>Jun</v>
      </c>
      <c r="P390" s="12">
        <f>YEAR(InputData[[#This Row],[DATE]])</f>
        <v>2022</v>
      </c>
      <c r="Q390" s="12"/>
    </row>
    <row r="391" spans="1:17" x14ac:dyDescent="0.3">
      <c r="A391" s="10">
        <v>44737</v>
      </c>
      <c r="B391" s="11" t="s">
        <v>31</v>
      </c>
      <c r="C391" s="12">
        <v>7</v>
      </c>
      <c r="D391" s="12" t="s">
        <v>106</v>
      </c>
      <c r="E391" s="12" t="s">
        <v>106</v>
      </c>
      <c r="F391" s="13">
        <v>0</v>
      </c>
      <c r="G391" s="12" t="str">
        <f>VLOOKUP(InputData[[#This Row],[PRODUCT ID]],MasterData[],2,0)</f>
        <v>Product12</v>
      </c>
      <c r="H391" s="12" t="str">
        <f>VLOOKUP(InputData[[#This Row],[PRODUCT ID]],MasterData[],3,0)</f>
        <v>Category02</v>
      </c>
      <c r="I391" s="12" t="str">
        <f>VLOOKUP(InputData[[#This Row],[PRODUCT ID]],MasterData[],4,0)</f>
        <v>Kg</v>
      </c>
      <c r="J391" s="14">
        <f>VLOOKUP(InputData[[#This Row],[PRODUCT ID]],MasterData[],5,0)</f>
        <v>73</v>
      </c>
      <c r="K391" s="14">
        <f>VLOOKUP(InputData[[#This Row],[PRODUCT ID]],MasterData[],5,0)</f>
        <v>73</v>
      </c>
      <c r="L391" s="14">
        <f>InputData[[#This Row],[BUYING PRIZE]]*InputData[[#This Row],[QUANTITY]]</f>
        <v>511</v>
      </c>
      <c r="M391" s="14">
        <f>InputData[[#This Row],[SELLING PRICE]]*InputData[[#This Row],[QUANTITY]]*(1-InputData[[#This Row],[DISCOUNT %]])</f>
        <v>511</v>
      </c>
      <c r="N391" s="12">
        <f>DAY(InputData[[#This Row],[DATE]])</f>
        <v>25</v>
      </c>
      <c r="O391" s="12" t="str">
        <f>TEXT(InputData[[#This Row],[DATE]],"mmm")</f>
        <v>Jun</v>
      </c>
      <c r="P391" s="12">
        <f>YEAR(InputData[[#This Row],[DATE]])</f>
        <v>2022</v>
      </c>
      <c r="Q391" s="12"/>
    </row>
    <row r="392" spans="1:17" x14ac:dyDescent="0.3">
      <c r="A392" s="10">
        <v>44738</v>
      </c>
      <c r="B392" s="11" t="s">
        <v>77</v>
      </c>
      <c r="C392" s="12">
        <v>4</v>
      </c>
      <c r="D392" s="12" t="s">
        <v>108</v>
      </c>
      <c r="E392" s="12" t="s">
        <v>107</v>
      </c>
      <c r="F392" s="13">
        <v>0</v>
      </c>
      <c r="G392" s="12" t="str">
        <f>VLOOKUP(InputData[[#This Row],[PRODUCT ID]],MasterData[],2,0)</f>
        <v>Product34</v>
      </c>
      <c r="H392" s="12" t="str">
        <f>VLOOKUP(InputData[[#This Row],[PRODUCT ID]],MasterData[],3,0)</f>
        <v>Category04</v>
      </c>
      <c r="I392" s="12" t="str">
        <f>VLOOKUP(InputData[[#This Row],[PRODUCT ID]],MasterData[],4,0)</f>
        <v>Lt</v>
      </c>
      <c r="J392" s="14">
        <f>VLOOKUP(InputData[[#This Row],[PRODUCT ID]],MasterData[],5,0)</f>
        <v>55</v>
      </c>
      <c r="K392" s="14">
        <f>VLOOKUP(InputData[[#This Row],[PRODUCT ID]],MasterData[],5,0)</f>
        <v>55</v>
      </c>
      <c r="L392" s="14">
        <f>InputData[[#This Row],[BUYING PRIZE]]*InputData[[#This Row],[QUANTITY]]</f>
        <v>220</v>
      </c>
      <c r="M392" s="14">
        <f>InputData[[#This Row],[SELLING PRICE]]*InputData[[#This Row],[QUANTITY]]*(1-InputData[[#This Row],[DISCOUNT %]])</f>
        <v>220</v>
      </c>
      <c r="N392" s="12">
        <f>DAY(InputData[[#This Row],[DATE]])</f>
        <v>26</v>
      </c>
      <c r="O392" s="12" t="str">
        <f>TEXT(InputData[[#This Row],[DATE]],"mmm")</f>
        <v>Jun</v>
      </c>
      <c r="P392" s="12">
        <f>YEAR(InputData[[#This Row],[DATE]])</f>
        <v>2022</v>
      </c>
      <c r="Q392" s="12"/>
    </row>
    <row r="393" spans="1:17" x14ac:dyDescent="0.3">
      <c r="A393" s="10">
        <v>44738</v>
      </c>
      <c r="B393" s="11" t="s">
        <v>96</v>
      </c>
      <c r="C393" s="12">
        <v>12</v>
      </c>
      <c r="D393" s="12" t="s">
        <v>108</v>
      </c>
      <c r="E393" s="12" t="s">
        <v>106</v>
      </c>
      <c r="F393" s="13">
        <v>0</v>
      </c>
      <c r="G393" s="12" t="str">
        <f>VLOOKUP(InputData[[#This Row],[PRODUCT ID]],MasterData[],2,0)</f>
        <v>Product43</v>
      </c>
      <c r="H393" s="12" t="str">
        <f>VLOOKUP(InputData[[#This Row],[PRODUCT ID]],MasterData[],3,0)</f>
        <v>Category05</v>
      </c>
      <c r="I393" s="12" t="str">
        <f>VLOOKUP(InputData[[#This Row],[PRODUCT ID]],MasterData[],4,0)</f>
        <v>Kg</v>
      </c>
      <c r="J393" s="14">
        <f>VLOOKUP(InputData[[#This Row],[PRODUCT ID]],MasterData[],5,0)</f>
        <v>67</v>
      </c>
      <c r="K393" s="14">
        <f>VLOOKUP(InputData[[#This Row],[PRODUCT ID]],MasterData[],5,0)</f>
        <v>67</v>
      </c>
      <c r="L393" s="14">
        <f>InputData[[#This Row],[BUYING PRIZE]]*InputData[[#This Row],[QUANTITY]]</f>
        <v>804</v>
      </c>
      <c r="M393" s="14">
        <f>InputData[[#This Row],[SELLING PRICE]]*InputData[[#This Row],[QUANTITY]]*(1-InputData[[#This Row],[DISCOUNT %]])</f>
        <v>804</v>
      </c>
      <c r="N393" s="12">
        <f>DAY(InputData[[#This Row],[DATE]])</f>
        <v>26</v>
      </c>
      <c r="O393" s="12" t="str">
        <f>TEXT(InputData[[#This Row],[DATE]],"mmm")</f>
        <v>Jun</v>
      </c>
      <c r="P393" s="12">
        <f>YEAR(InputData[[#This Row],[DATE]])</f>
        <v>2022</v>
      </c>
      <c r="Q393" s="12"/>
    </row>
    <row r="394" spans="1:17" x14ac:dyDescent="0.3">
      <c r="A394" s="10">
        <v>44745</v>
      </c>
      <c r="B394" s="11" t="s">
        <v>75</v>
      </c>
      <c r="C394" s="12">
        <v>15</v>
      </c>
      <c r="D394" s="12" t="s">
        <v>108</v>
      </c>
      <c r="E394" s="12" t="s">
        <v>107</v>
      </c>
      <c r="F394" s="13">
        <v>0</v>
      </c>
      <c r="G394" s="12" t="str">
        <f>VLOOKUP(InputData[[#This Row],[PRODUCT ID]],MasterData[],2,0)</f>
        <v>Product33</v>
      </c>
      <c r="H394" s="12" t="str">
        <f>VLOOKUP(InputData[[#This Row],[PRODUCT ID]],MasterData[],3,0)</f>
        <v>Category04</v>
      </c>
      <c r="I394" s="12" t="str">
        <f>VLOOKUP(InputData[[#This Row],[PRODUCT ID]],MasterData[],4,0)</f>
        <v>Kg</v>
      </c>
      <c r="J394" s="14">
        <f>VLOOKUP(InputData[[#This Row],[PRODUCT ID]],MasterData[],5,0)</f>
        <v>95</v>
      </c>
      <c r="K394" s="14">
        <f>VLOOKUP(InputData[[#This Row],[PRODUCT ID]],MasterData[],5,0)</f>
        <v>95</v>
      </c>
      <c r="L394" s="14">
        <f>InputData[[#This Row],[BUYING PRIZE]]*InputData[[#This Row],[QUANTITY]]</f>
        <v>1425</v>
      </c>
      <c r="M394" s="14">
        <f>InputData[[#This Row],[SELLING PRICE]]*InputData[[#This Row],[QUANTITY]]*(1-InputData[[#This Row],[DISCOUNT %]])</f>
        <v>1425</v>
      </c>
      <c r="N394" s="12">
        <f>DAY(InputData[[#This Row],[DATE]])</f>
        <v>3</v>
      </c>
      <c r="O394" s="12" t="str">
        <f>TEXT(InputData[[#This Row],[DATE]],"mmm")</f>
        <v>Jul</v>
      </c>
      <c r="P394" s="12">
        <f>YEAR(InputData[[#This Row],[DATE]])</f>
        <v>2022</v>
      </c>
      <c r="Q394" s="12"/>
    </row>
    <row r="395" spans="1:17" x14ac:dyDescent="0.3">
      <c r="A395" s="10">
        <v>44746</v>
      </c>
      <c r="B395" s="11" t="s">
        <v>20</v>
      </c>
      <c r="C395" s="12">
        <v>7</v>
      </c>
      <c r="D395" s="12" t="s">
        <v>108</v>
      </c>
      <c r="E395" s="12" t="s">
        <v>106</v>
      </c>
      <c r="F395" s="13">
        <v>0</v>
      </c>
      <c r="G395" s="12" t="str">
        <f>VLOOKUP(InputData[[#This Row],[PRODUCT ID]],MasterData[],2,0)</f>
        <v>Product07</v>
      </c>
      <c r="H395" s="12" t="str">
        <f>VLOOKUP(InputData[[#This Row],[PRODUCT ID]],MasterData[],3,0)</f>
        <v>Category01</v>
      </c>
      <c r="I395" s="12" t="str">
        <f>VLOOKUP(InputData[[#This Row],[PRODUCT ID]],MasterData[],4,0)</f>
        <v>Lt</v>
      </c>
      <c r="J395" s="14">
        <f>VLOOKUP(InputData[[#This Row],[PRODUCT ID]],MasterData[],5,0)</f>
        <v>43</v>
      </c>
      <c r="K395" s="14">
        <f>VLOOKUP(InputData[[#This Row],[PRODUCT ID]],MasterData[],5,0)</f>
        <v>43</v>
      </c>
      <c r="L395" s="14">
        <f>InputData[[#This Row],[BUYING PRIZE]]*InputData[[#This Row],[QUANTITY]]</f>
        <v>301</v>
      </c>
      <c r="M395" s="14">
        <f>InputData[[#This Row],[SELLING PRICE]]*InputData[[#This Row],[QUANTITY]]*(1-InputData[[#This Row],[DISCOUNT %]])</f>
        <v>301</v>
      </c>
      <c r="N395" s="12">
        <f>DAY(InputData[[#This Row],[DATE]])</f>
        <v>4</v>
      </c>
      <c r="O395" s="12" t="str">
        <f>TEXT(InputData[[#This Row],[DATE]],"mmm")</f>
        <v>Jul</v>
      </c>
      <c r="P395" s="12">
        <f>YEAR(InputData[[#This Row],[DATE]])</f>
        <v>2022</v>
      </c>
      <c r="Q395" s="12"/>
    </row>
    <row r="396" spans="1:17" x14ac:dyDescent="0.3">
      <c r="A396" s="10">
        <v>44747</v>
      </c>
      <c r="B396" s="11" t="s">
        <v>58</v>
      </c>
      <c r="C396" s="12">
        <v>7</v>
      </c>
      <c r="D396" s="12" t="s">
        <v>106</v>
      </c>
      <c r="E396" s="12" t="s">
        <v>107</v>
      </c>
      <c r="F396" s="13">
        <v>0</v>
      </c>
      <c r="G396" s="12" t="str">
        <f>VLOOKUP(InputData[[#This Row],[PRODUCT ID]],MasterData[],2,0)</f>
        <v>Product25</v>
      </c>
      <c r="H396" s="12" t="str">
        <f>VLOOKUP(InputData[[#This Row],[PRODUCT ID]],MasterData[],3,0)</f>
        <v>Category03</v>
      </c>
      <c r="I396" s="12" t="str">
        <f>VLOOKUP(InputData[[#This Row],[PRODUCT ID]],MasterData[],4,0)</f>
        <v>No.</v>
      </c>
      <c r="J396" s="14">
        <f>VLOOKUP(InputData[[#This Row],[PRODUCT ID]],MasterData[],5,0)</f>
        <v>7</v>
      </c>
      <c r="K396" s="14">
        <f>VLOOKUP(InputData[[#This Row],[PRODUCT ID]],MasterData[],5,0)</f>
        <v>7</v>
      </c>
      <c r="L396" s="14">
        <f>InputData[[#This Row],[BUYING PRIZE]]*InputData[[#This Row],[QUANTITY]]</f>
        <v>49</v>
      </c>
      <c r="M396" s="14">
        <f>InputData[[#This Row],[SELLING PRICE]]*InputData[[#This Row],[QUANTITY]]*(1-InputData[[#This Row],[DISCOUNT %]])</f>
        <v>49</v>
      </c>
      <c r="N396" s="12">
        <f>DAY(InputData[[#This Row],[DATE]])</f>
        <v>5</v>
      </c>
      <c r="O396" s="12" t="str">
        <f>TEXT(InputData[[#This Row],[DATE]],"mmm")</f>
        <v>Jul</v>
      </c>
      <c r="P396" s="12">
        <f>YEAR(InputData[[#This Row],[DATE]])</f>
        <v>2022</v>
      </c>
      <c r="Q396" s="12"/>
    </row>
    <row r="397" spans="1:17" x14ac:dyDescent="0.3">
      <c r="A397" s="10">
        <v>44747</v>
      </c>
      <c r="B397" s="11" t="s">
        <v>37</v>
      </c>
      <c r="C397" s="12">
        <v>8</v>
      </c>
      <c r="D397" s="12" t="s">
        <v>108</v>
      </c>
      <c r="E397" s="12" t="s">
        <v>106</v>
      </c>
      <c r="F397" s="13">
        <v>0</v>
      </c>
      <c r="G397" s="12" t="str">
        <f>VLOOKUP(InputData[[#This Row],[PRODUCT ID]],MasterData[],2,0)</f>
        <v>Product15</v>
      </c>
      <c r="H397" s="12" t="str">
        <f>VLOOKUP(InputData[[#This Row],[PRODUCT ID]],MasterData[],3,0)</f>
        <v>Category02</v>
      </c>
      <c r="I397" s="12" t="str">
        <f>VLOOKUP(InputData[[#This Row],[PRODUCT ID]],MasterData[],4,0)</f>
        <v>No.</v>
      </c>
      <c r="J397" s="14">
        <f>VLOOKUP(InputData[[#This Row],[PRODUCT ID]],MasterData[],5,0)</f>
        <v>12</v>
      </c>
      <c r="K397" s="14">
        <f>VLOOKUP(InputData[[#This Row],[PRODUCT ID]],MasterData[],5,0)</f>
        <v>12</v>
      </c>
      <c r="L397" s="14">
        <f>InputData[[#This Row],[BUYING PRIZE]]*InputData[[#This Row],[QUANTITY]]</f>
        <v>96</v>
      </c>
      <c r="M397" s="14">
        <f>InputData[[#This Row],[SELLING PRICE]]*InputData[[#This Row],[QUANTITY]]*(1-InputData[[#This Row],[DISCOUNT %]])</f>
        <v>96</v>
      </c>
      <c r="N397" s="12">
        <f>DAY(InputData[[#This Row],[DATE]])</f>
        <v>5</v>
      </c>
      <c r="O397" s="12" t="str">
        <f>TEXT(InputData[[#This Row],[DATE]],"mmm")</f>
        <v>Jul</v>
      </c>
      <c r="P397" s="12">
        <f>YEAR(InputData[[#This Row],[DATE]])</f>
        <v>2022</v>
      </c>
      <c r="Q397" s="12"/>
    </row>
    <row r="398" spans="1:17" x14ac:dyDescent="0.3">
      <c r="A398" s="10">
        <v>44748</v>
      </c>
      <c r="B398" s="11" t="s">
        <v>92</v>
      </c>
      <c r="C398" s="12">
        <v>2</v>
      </c>
      <c r="D398" s="12" t="s">
        <v>108</v>
      </c>
      <c r="E398" s="12" t="s">
        <v>107</v>
      </c>
      <c r="F398" s="13">
        <v>0</v>
      </c>
      <c r="G398" s="12" t="str">
        <f>VLOOKUP(InputData[[#This Row],[PRODUCT ID]],MasterData[],2,0)</f>
        <v>Product41</v>
      </c>
      <c r="H398" s="12" t="str">
        <f>VLOOKUP(InputData[[#This Row],[PRODUCT ID]],MasterData[],3,0)</f>
        <v>Category05</v>
      </c>
      <c r="I398" s="12" t="str">
        <f>VLOOKUP(InputData[[#This Row],[PRODUCT ID]],MasterData[],4,0)</f>
        <v>Ft</v>
      </c>
      <c r="J398" s="14">
        <f>VLOOKUP(InputData[[#This Row],[PRODUCT ID]],MasterData[],5,0)</f>
        <v>138</v>
      </c>
      <c r="K398" s="14">
        <f>VLOOKUP(InputData[[#This Row],[PRODUCT ID]],MasterData[],5,0)</f>
        <v>138</v>
      </c>
      <c r="L398" s="14">
        <f>InputData[[#This Row],[BUYING PRIZE]]*InputData[[#This Row],[QUANTITY]]</f>
        <v>276</v>
      </c>
      <c r="M398" s="14">
        <f>InputData[[#This Row],[SELLING PRICE]]*InputData[[#This Row],[QUANTITY]]*(1-InputData[[#This Row],[DISCOUNT %]])</f>
        <v>276</v>
      </c>
      <c r="N398" s="12">
        <f>DAY(InputData[[#This Row],[DATE]])</f>
        <v>6</v>
      </c>
      <c r="O398" s="12" t="str">
        <f>TEXT(InputData[[#This Row],[DATE]],"mmm")</f>
        <v>Jul</v>
      </c>
      <c r="P398" s="12">
        <f>YEAR(InputData[[#This Row],[DATE]])</f>
        <v>2022</v>
      </c>
      <c r="Q398" s="12"/>
    </row>
    <row r="399" spans="1:17" x14ac:dyDescent="0.3">
      <c r="A399" s="10">
        <v>44750</v>
      </c>
      <c r="B399" s="11" t="s">
        <v>43</v>
      </c>
      <c r="C399" s="12">
        <v>2</v>
      </c>
      <c r="D399" s="12" t="s">
        <v>108</v>
      </c>
      <c r="E399" s="12" t="s">
        <v>106</v>
      </c>
      <c r="F399" s="13">
        <v>0</v>
      </c>
      <c r="G399" s="12" t="str">
        <f>VLOOKUP(InputData[[#This Row],[PRODUCT ID]],MasterData[],2,0)</f>
        <v>Product18</v>
      </c>
      <c r="H399" s="12" t="str">
        <f>VLOOKUP(InputData[[#This Row],[PRODUCT ID]],MasterData[],3,0)</f>
        <v>Category02</v>
      </c>
      <c r="I399" s="12" t="str">
        <f>VLOOKUP(InputData[[#This Row],[PRODUCT ID]],MasterData[],4,0)</f>
        <v>No.</v>
      </c>
      <c r="J399" s="14">
        <f>VLOOKUP(InputData[[#This Row],[PRODUCT ID]],MasterData[],5,0)</f>
        <v>37</v>
      </c>
      <c r="K399" s="14">
        <f>VLOOKUP(InputData[[#This Row],[PRODUCT ID]],MasterData[],5,0)</f>
        <v>37</v>
      </c>
      <c r="L399" s="14">
        <f>InputData[[#This Row],[BUYING PRIZE]]*InputData[[#This Row],[QUANTITY]]</f>
        <v>74</v>
      </c>
      <c r="M399" s="14">
        <f>InputData[[#This Row],[SELLING PRICE]]*InputData[[#This Row],[QUANTITY]]*(1-InputData[[#This Row],[DISCOUNT %]])</f>
        <v>74</v>
      </c>
      <c r="N399" s="12">
        <f>DAY(InputData[[#This Row],[DATE]])</f>
        <v>8</v>
      </c>
      <c r="O399" s="12" t="str">
        <f>TEXT(InputData[[#This Row],[DATE]],"mmm")</f>
        <v>Jul</v>
      </c>
      <c r="P399" s="12">
        <f>YEAR(InputData[[#This Row],[DATE]])</f>
        <v>2022</v>
      </c>
      <c r="Q399" s="12"/>
    </row>
    <row r="400" spans="1:17" x14ac:dyDescent="0.3">
      <c r="A400" s="10">
        <v>44752</v>
      </c>
      <c r="B400" s="11" t="s">
        <v>73</v>
      </c>
      <c r="C400" s="12">
        <v>12</v>
      </c>
      <c r="D400" s="12" t="s">
        <v>106</v>
      </c>
      <c r="E400" s="12" t="s">
        <v>107</v>
      </c>
      <c r="F400" s="13">
        <v>0</v>
      </c>
      <c r="G400" s="12" t="str">
        <f>VLOOKUP(InputData[[#This Row],[PRODUCT ID]],MasterData[],2,0)</f>
        <v>Product32</v>
      </c>
      <c r="H400" s="12" t="str">
        <f>VLOOKUP(InputData[[#This Row],[PRODUCT ID]],MasterData[],3,0)</f>
        <v>Category04</v>
      </c>
      <c r="I400" s="12" t="str">
        <f>VLOOKUP(InputData[[#This Row],[PRODUCT ID]],MasterData[],4,0)</f>
        <v>Kg</v>
      </c>
      <c r="J400" s="14">
        <f>VLOOKUP(InputData[[#This Row],[PRODUCT ID]],MasterData[],5,0)</f>
        <v>89</v>
      </c>
      <c r="K400" s="14">
        <f>VLOOKUP(InputData[[#This Row],[PRODUCT ID]],MasterData[],5,0)</f>
        <v>89</v>
      </c>
      <c r="L400" s="14">
        <f>InputData[[#This Row],[BUYING PRIZE]]*InputData[[#This Row],[QUANTITY]]</f>
        <v>1068</v>
      </c>
      <c r="M400" s="14">
        <f>InputData[[#This Row],[SELLING PRICE]]*InputData[[#This Row],[QUANTITY]]*(1-InputData[[#This Row],[DISCOUNT %]])</f>
        <v>1068</v>
      </c>
      <c r="N400" s="12">
        <f>DAY(InputData[[#This Row],[DATE]])</f>
        <v>10</v>
      </c>
      <c r="O400" s="12" t="str">
        <f>TEXT(InputData[[#This Row],[DATE]],"mmm")</f>
        <v>Jul</v>
      </c>
      <c r="P400" s="12">
        <f>YEAR(InputData[[#This Row],[DATE]])</f>
        <v>2022</v>
      </c>
      <c r="Q400" s="12"/>
    </row>
    <row r="401" spans="1:17" x14ac:dyDescent="0.3">
      <c r="A401" s="10">
        <v>44754</v>
      </c>
      <c r="B401" s="11" t="s">
        <v>65</v>
      </c>
      <c r="C401" s="12">
        <v>12</v>
      </c>
      <c r="D401" s="12" t="s">
        <v>108</v>
      </c>
      <c r="E401" s="12" t="s">
        <v>107</v>
      </c>
      <c r="F401" s="13">
        <v>0</v>
      </c>
      <c r="G401" s="12" t="str">
        <f>VLOOKUP(InputData[[#This Row],[PRODUCT ID]],MasterData[],2,0)</f>
        <v>Product28</v>
      </c>
      <c r="H401" s="12" t="str">
        <f>VLOOKUP(InputData[[#This Row],[PRODUCT ID]],MasterData[],3,0)</f>
        <v>Category04</v>
      </c>
      <c r="I401" s="12" t="str">
        <f>VLOOKUP(InputData[[#This Row],[PRODUCT ID]],MasterData[],4,0)</f>
        <v>No.</v>
      </c>
      <c r="J401" s="14">
        <f>VLOOKUP(InputData[[#This Row],[PRODUCT ID]],MasterData[],5,0)</f>
        <v>37</v>
      </c>
      <c r="K401" s="14">
        <f>VLOOKUP(InputData[[#This Row],[PRODUCT ID]],MasterData[],5,0)</f>
        <v>37</v>
      </c>
      <c r="L401" s="14">
        <f>InputData[[#This Row],[BUYING PRIZE]]*InputData[[#This Row],[QUANTITY]]</f>
        <v>444</v>
      </c>
      <c r="M401" s="14">
        <f>InputData[[#This Row],[SELLING PRICE]]*InputData[[#This Row],[QUANTITY]]*(1-InputData[[#This Row],[DISCOUNT %]])</f>
        <v>444</v>
      </c>
      <c r="N401" s="12">
        <f>DAY(InputData[[#This Row],[DATE]])</f>
        <v>12</v>
      </c>
      <c r="O401" s="12" t="str">
        <f>TEXT(InputData[[#This Row],[DATE]],"mmm")</f>
        <v>Jul</v>
      </c>
      <c r="P401" s="12">
        <f>YEAR(InputData[[#This Row],[DATE]])</f>
        <v>2022</v>
      </c>
      <c r="Q401" s="12"/>
    </row>
    <row r="402" spans="1:17" x14ac:dyDescent="0.3">
      <c r="A402" s="10">
        <v>44755</v>
      </c>
      <c r="B402" s="11" t="s">
        <v>58</v>
      </c>
      <c r="C402" s="12">
        <v>7</v>
      </c>
      <c r="D402" s="12" t="s">
        <v>108</v>
      </c>
      <c r="E402" s="12" t="s">
        <v>106</v>
      </c>
      <c r="F402" s="13">
        <v>0</v>
      </c>
      <c r="G402" s="12" t="str">
        <f>VLOOKUP(InputData[[#This Row],[PRODUCT ID]],MasterData[],2,0)</f>
        <v>Product25</v>
      </c>
      <c r="H402" s="12" t="str">
        <f>VLOOKUP(InputData[[#This Row],[PRODUCT ID]],MasterData[],3,0)</f>
        <v>Category03</v>
      </c>
      <c r="I402" s="12" t="str">
        <f>VLOOKUP(InputData[[#This Row],[PRODUCT ID]],MasterData[],4,0)</f>
        <v>No.</v>
      </c>
      <c r="J402" s="14">
        <f>VLOOKUP(InputData[[#This Row],[PRODUCT ID]],MasterData[],5,0)</f>
        <v>7</v>
      </c>
      <c r="K402" s="14">
        <f>VLOOKUP(InputData[[#This Row],[PRODUCT ID]],MasterData[],5,0)</f>
        <v>7</v>
      </c>
      <c r="L402" s="14">
        <f>InputData[[#This Row],[BUYING PRIZE]]*InputData[[#This Row],[QUANTITY]]</f>
        <v>49</v>
      </c>
      <c r="M402" s="14">
        <f>InputData[[#This Row],[SELLING PRICE]]*InputData[[#This Row],[QUANTITY]]*(1-InputData[[#This Row],[DISCOUNT %]])</f>
        <v>49</v>
      </c>
      <c r="N402" s="12">
        <f>DAY(InputData[[#This Row],[DATE]])</f>
        <v>13</v>
      </c>
      <c r="O402" s="12" t="str">
        <f>TEXT(InputData[[#This Row],[DATE]],"mmm")</f>
        <v>Jul</v>
      </c>
      <c r="P402" s="12">
        <f>YEAR(InputData[[#This Row],[DATE]])</f>
        <v>2022</v>
      </c>
      <c r="Q402" s="12"/>
    </row>
    <row r="403" spans="1:17" x14ac:dyDescent="0.3">
      <c r="A403" s="10">
        <v>44756</v>
      </c>
      <c r="B403" s="11" t="s">
        <v>75</v>
      </c>
      <c r="C403" s="12">
        <v>9</v>
      </c>
      <c r="D403" s="12" t="s">
        <v>108</v>
      </c>
      <c r="E403" s="12" t="s">
        <v>106</v>
      </c>
      <c r="F403" s="13">
        <v>0</v>
      </c>
      <c r="G403" s="12" t="str">
        <f>VLOOKUP(InputData[[#This Row],[PRODUCT ID]],MasterData[],2,0)</f>
        <v>Product33</v>
      </c>
      <c r="H403" s="12" t="str">
        <f>VLOOKUP(InputData[[#This Row],[PRODUCT ID]],MasterData[],3,0)</f>
        <v>Category04</v>
      </c>
      <c r="I403" s="12" t="str">
        <f>VLOOKUP(InputData[[#This Row],[PRODUCT ID]],MasterData[],4,0)</f>
        <v>Kg</v>
      </c>
      <c r="J403" s="14">
        <f>VLOOKUP(InputData[[#This Row],[PRODUCT ID]],MasterData[],5,0)</f>
        <v>95</v>
      </c>
      <c r="K403" s="14">
        <f>VLOOKUP(InputData[[#This Row],[PRODUCT ID]],MasterData[],5,0)</f>
        <v>95</v>
      </c>
      <c r="L403" s="14">
        <f>InputData[[#This Row],[BUYING PRIZE]]*InputData[[#This Row],[QUANTITY]]</f>
        <v>855</v>
      </c>
      <c r="M403" s="14">
        <f>InputData[[#This Row],[SELLING PRICE]]*InputData[[#This Row],[QUANTITY]]*(1-InputData[[#This Row],[DISCOUNT %]])</f>
        <v>855</v>
      </c>
      <c r="N403" s="12">
        <f>DAY(InputData[[#This Row],[DATE]])</f>
        <v>14</v>
      </c>
      <c r="O403" s="12" t="str">
        <f>TEXT(InputData[[#This Row],[DATE]],"mmm")</f>
        <v>Jul</v>
      </c>
      <c r="P403" s="12">
        <f>YEAR(InputData[[#This Row],[DATE]])</f>
        <v>2022</v>
      </c>
      <c r="Q403" s="12"/>
    </row>
    <row r="404" spans="1:17" x14ac:dyDescent="0.3">
      <c r="A404" s="10">
        <v>44757</v>
      </c>
      <c r="B404" s="11" t="s">
        <v>14</v>
      </c>
      <c r="C404" s="12">
        <v>2</v>
      </c>
      <c r="D404" s="12" t="s">
        <v>106</v>
      </c>
      <c r="E404" s="12" t="s">
        <v>106</v>
      </c>
      <c r="F404" s="13">
        <v>0</v>
      </c>
      <c r="G404" s="12" t="str">
        <f>VLOOKUP(InputData[[#This Row],[PRODUCT ID]],MasterData[],2,0)</f>
        <v>Product04</v>
      </c>
      <c r="H404" s="12" t="str">
        <f>VLOOKUP(InputData[[#This Row],[PRODUCT ID]],MasterData[],3,0)</f>
        <v>Category01</v>
      </c>
      <c r="I404" s="12" t="str">
        <f>VLOOKUP(InputData[[#This Row],[PRODUCT ID]],MasterData[],4,0)</f>
        <v>Lt</v>
      </c>
      <c r="J404" s="14">
        <f>VLOOKUP(InputData[[#This Row],[PRODUCT ID]],MasterData[],5,0)</f>
        <v>44</v>
      </c>
      <c r="K404" s="14">
        <f>VLOOKUP(InputData[[#This Row],[PRODUCT ID]],MasterData[],5,0)</f>
        <v>44</v>
      </c>
      <c r="L404" s="14">
        <f>InputData[[#This Row],[BUYING PRIZE]]*InputData[[#This Row],[QUANTITY]]</f>
        <v>88</v>
      </c>
      <c r="M404" s="14">
        <f>InputData[[#This Row],[SELLING PRICE]]*InputData[[#This Row],[QUANTITY]]*(1-InputData[[#This Row],[DISCOUNT %]])</f>
        <v>88</v>
      </c>
      <c r="N404" s="12">
        <f>DAY(InputData[[#This Row],[DATE]])</f>
        <v>15</v>
      </c>
      <c r="O404" s="12" t="str">
        <f>TEXT(InputData[[#This Row],[DATE]],"mmm")</f>
        <v>Jul</v>
      </c>
      <c r="P404" s="12">
        <f>YEAR(InputData[[#This Row],[DATE]])</f>
        <v>2022</v>
      </c>
      <c r="Q404" s="12"/>
    </row>
    <row r="405" spans="1:17" x14ac:dyDescent="0.3">
      <c r="A405" s="10">
        <v>44759</v>
      </c>
      <c r="B405" s="11" t="s">
        <v>92</v>
      </c>
      <c r="C405" s="12">
        <v>8</v>
      </c>
      <c r="D405" s="12" t="s">
        <v>106</v>
      </c>
      <c r="E405" s="12" t="s">
        <v>107</v>
      </c>
      <c r="F405" s="13">
        <v>0</v>
      </c>
      <c r="G405" s="12" t="str">
        <f>VLOOKUP(InputData[[#This Row],[PRODUCT ID]],MasterData[],2,0)</f>
        <v>Product41</v>
      </c>
      <c r="H405" s="12" t="str">
        <f>VLOOKUP(InputData[[#This Row],[PRODUCT ID]],MasterData[],3,0)</f>
        <v>Category05</v>
      </c>
      <c r="I405" s="12" t="str">
        <f>VLOOKUP(InputData[[#This Row],[PRODUCT ID]],MasterData[],4,0)</f>
        <v>Ft</v>
      </c>
      <c r="J405" s="14">
        <f>VLOOKUP(InputData[[#This Row],[PRODUCT ID]],MasterData[],5,0)</f>
        <v>138</v>
      </c>
      <c r="K405" s="14">
        <f>VLOOKUP(InputData[[#This Row],[PRODUCT ID]],MasterData[],5,0)</f>
        <v>138</v>
      </c>
      <c r="L405" s="14">
        <f>InputData[[#This Row],[BUYING PRIZE]]*InputData[[#This Row],[QUANTITY]]</f>
        <v>1104</v>
      </c>
      <c r="M405" s="14">
        <f>InputData[[#This Row],[SELLING PRICE]]*InputData[[#This Row],[QUANTITY]]*(1-InputData[[#This Row],[DISCOUNT %]])</f>
        <v>1104</v>
      </c>
      <c r="N405" s="12">
        <f>DAY(InputData[[#This Row],[DATE]])</f>
        <v>17</v>
      </c>
      <c r="O405" s="12" t="str">
        <f>TEXT(InputData[[#This Row],[DATE]],"mmm")</f>
        <v>Jul</v>
      </c>
      <c r="P405" s="12">
        <f>YEAR(InputData[[#This Row],[DATE]])</f>
        <v>2022</v>
      </c>
      <c r="Q405" s="12"/>
    </row>
    <row r="406" spans="1:17" x14ac:dyDescent="0.3">
      <c r="A406" s="10">
        <v>44760</v>
      </c>
      <c r="B406" s="11" t="s">
        <v>26</v>
      </c>
      <c r="C406" s="12">
        <v>12</v>
      </c>
      <c r="D406" s="12" t="s">
        <v>108</v>
      </c>
      <c r="E406" s="12" t="s">
        <v>106</v>
      </c>
      <c r="F406" s="13">
        <v>0</v>
      </c>
      <c r="G406" s="12" t="str">
        <f>VLOOKUP(InputData[[#This Row],[PRODUCT ID]],MasterData[],2,0)</f>
        <v>Product10</v>
      </c>
      <c r="H406" s="12" t="str">
        <f>VLOOKUP(InputData[[#This Row],[PRODUCT ID]],MasterData[],3,0)</f>
        <v>Category02</v>
      </c>
      <c r="I406" s="12" t="str">
        <f>VLOOKUP(InputData[[#This Row],[PRODUCT ID]],MasterData[],4,0)</f>
        <v>Ft</v>
      </c>
      <c r="J406" s="14">
        <f>VLOOKUP(InputData[[#This Row],[PRODUCT ID]],MasterData[],5,0)</f>
        <v>148</v>
      </c>
      <c r="K406" s="14">
        <f>VLOOKUP(InputData[[#This Row],[PRODUCT ID]],MasterData[],5,0)</f>
        <v>148</v>
      </c>
      <c r="L406" s="14">
        <f>InputData[[#This Row],[BUYING PRIZE]]*InputData[[#This Row],[QUANTITY]]</f>
        <v>1776</v>
      </c>
      <c r="M406" s="14">
        <f>InputData[[#This Row],[SELLING PRICE]]*InputData[[#This Row],[QUANTITY]]*(1-InputData[[#This Row],[DISCOUNT %]])</f>
        <v>1776</v>
      </c>
      <c r="N406" s="12">
        <f>DAY(InputData[[#This Row],[DATE]])</f>
        <v>18</v>
      </c>
      <c r="O406" s="12" t="str">
        <f>TEXT(InputData[[#This Row],[DATE]],"mmm")</f>
        <v>Jul</v>
      </c>
      <c r="P406" s="12">
        <f>YEAR(InputData[[#This Row],[DATE]])</f>
        <v>2022</v>
      </c>
      <c r="Q406" s="12"/>
    </row>
    <row r="407" spans="1:17" x14ac:dyDescent="0.3">
      <c r="A407" s="10">
        <v>44762</v>
      </c>
      <c r="B407" s="11" t="s">
        <v>94</v>
      </c>
      <c r="C407" s="12">
        <v>8</v>
      </c>
      <c r="D407" s="12" t="s">
        <v>105</v>
      </c>
      <c r="E407" s="12" t="s">
        <v>106</v>
      </c>
      <c r="F407" s="13">
        <v>0</v>
      </c>
      <c r="G407" s="12" t="str">
        <f>VLOOKUP(InputData[[#This Row],[PRODUCT ID]],MasterData[],2,0)</f>
        <v>Product42</v>
      </c>
      <c r="H407" s="12" t="str">
        <f>VLOOKUP(InputData[[#This Row],[PRODUCT ID]],MasterData[],3,0)</f>
        <v>Category05</v>
      </c>
      <c r="I407" s="12" t="str">
        <f>VLOOKUP(InputData[[#This Row],[PRODUCT ID]],MasterData[],4,0)</f>
        <v>Ft</v>
      </c>
      <c r="J407" s="14">
        <f>VLOOKUP(InputData[[#This Row],[PRODUCT ID]],MasterData[],5,0)</f>
        <v>120</v>
      </c>
      <c r="K407" s="14">
        <f>VLOOKUP(InputData[[#This Row],[PRODUCT ID]],MasterData[],5,0)</f>
        <v>120</v>
      </c>
      <c r="L407" s="14">
        <f>InputData[[#This Row],[BUYING PRIZE]]*InputData[[#This Row],[QUANTITY]]</f>
        <v>960</v>
      </c>
      <c r="M407" s="14">
        <f>InputData[[#This Row],[SELLING PRICE]]*InputData[[#This Row],[QUANTITY]]*(1-InputData[[#This Row],[DISCOUNT %]])</f>
        <v>960</v>
      </c>
      <c r="N407" s="12">
        <f>DAY(InputData[[#This Row],[DATE]])</f>
        <v>20</v>
      </c>
      <c r="O407" s="12" t="str">
        <f>TEXT(InputData[[#This Row],[DATE]],"mmm")</f>
        <v>Jul</v>
      </c>
      <c r="P407" s="12">
        <f>YEAR(InputData[[#This Row],[DATE]])</f>
        <v>2022</v>
      </c>
      <c r="Q407" s="12"/>
    </row>
    <row r="408" spans="1:17" x14ac:dyDescent="0.3">
      <c r="A408" s="10">
        <v>44764</v>
      </c>
      <c r="B408" s="11" t="s">
        <v>77</v>
      </c>
      <c r="C408" s="12">
        <v>6</v>
      </c>
      <c r="D408" s="12" t="s">
        <v>108</v>
      </c>
      <c r="E408" s="12" t="s">
        <v>107</v>
      </c>
      <c r="F408" s="13">
        <v>0</v>
      </c>
      <c r="G408" s="12" t="str">
        <f>VLOOKUP(InputData[[#This Row],[PRODUCT ID]],MasterData[],2,0)</f>
        <v>Product34</v>
      </c>
      <c r="H408" s="12" t="str">
        <f>VLOOKUP(InputData[[#This Row],[PRODUCT ID]],MasterData[],3,0)</f>
        <v>Category04</v>
      </c>
      <c r="I408" s="12" t="str">
        <f>VLOOKUP(InputData[[#This Row],[PRODUCT ID]],MasterData[],4,0)</f>
        <v>Lt</v>
      </c>
      <c r="J408" s="14">
        <f>VLOOKUP(InputData[[#This Row],[PRODUCT ID]],MasterData[],5,0)</f>
        <v>55</v>
      </c>
      <c r="K408" s="14">
        <f>VLOOKUP(InputData[[#This Row],[PRODUCT ID]],MasterData[],5,0)</f>
        <v>55</v>
      </c>
      <c r="L408" s="14">
        <f>InputData[[#This Row],[BUYING PRIZE]]*InputData[[#This Row],[QUANTITY]]</f>
        <v>330</v>
      </c>
      <c r="M408" s="14">
        <f>InputData[[#This Row],[SELLING PRICE]]*InputData[[#This Row],[QUANTITY]]*(1-InputData[[#This Row],[DISCOUNT %]])</f>
        <v>330</v>
      </c>
      <c r="N408" s="12">
        <f>DAY(InputData[[#This Row],[DATE]])</f>
        <v>22</v>
      </c>
      <c r="O408" s="12" t="str">
        <f>TEXT(InputData[[#This Row],[DATE]],"mmm")</f>
        <v>Jul</v>
      </c>
      <c r="P408" s="12">
        <f>YEAR(InputData[[#This Row],[DATE]])</f>
        <v>2022</v>
      </c>
      <c r="Q408" s="12"/>
    </row>
    <row r="409" spans="1:17" x14ac:dyDescent="0.3">
      <c r="A409" s="10">
        <v>44765</v>
      </c>
      <c r="B409" s="11" t="s">
        <v>43</v>
      </c>
      <c r="C409" s="12">
        <v>2</v>
      </c>
      <c r="D409" s="12" t="s">
        <v>106</v>
      </c>
      <c r="E409" s="12" t="s">
        <v>106</v>
      </c>
      <c r="F409" s="13">
        <v>0</v>
      </c>
      <c r="G409" s="12" t="str">
        <f>VLOOKUP(InputData[[#This Row],[PRODUCT ID]],MasterData[],2,0)</f>
        <v>Product18</v>
      </c>
      <c r="H409" s="12" t="str">
        <f>VLOOKUP(InputData[[#This Row],[PRODUCT ID]],MasterData[],3,0)</f>
        <v>Category02</v>
      </c>
      <c r="I409" s="12" t="str">
        <f>VLOOKUP(InputData[[#This Row],[PRODUCT ID]],MasterData[],4,0)</f>
        <v>No.</v>
      </c>
      <c r="J409" s="14">
        <f>VLOOKUP(InputData[[#This Row],[PRODUCT ID]],MasterData[],5,0)</f>
        <v>37</v>
      </c>
      <c r="K409" s="14">
        <f>VLOOKUP(InputData[[#This Row],[PRODUCT ID]],MasterData[],5,0)</f>
        <v>37</v>
      </c>
      <c r="L409" s="14">
        <f>InputData[[#This Row],[BUYING PRIZE]]*InputData[[#This Row],[QUANTITY]]</f>
        <v>74</v>
      </c>
      <c r="M409" s="14">
        <f>InputData[[#This Row],[SELLING PRICE]]*InputData[[#This Row],[QUANTITY]]*(1-InputData[[#This Row],[DISCOUNT %]])</f>
        <v>74</v>
      </c>
      <c r="N409" s="12">
        <f>DAY(InputData[[#This Row],[DATE]])</f>
        <v>23</v>
      </c>
      <c r="O409" s="12" t="str">
        <f>TEXT(InputData[[#This Row],[DATE]],"mmm")</f>
        <v>Jul</v>
      </c>
      <c r="P409" s="12">
        <f>YEAR(InputData[[#This Row],[DATE]])</f>
        <v>2022</v>
      </c>
      <c r="Q409" s="12"/>
    </row>
    <row r="410" spans="1:17" x14ac:dyDescent="0.3">
      <c r="A410" s="10">
        <v>44766</v>
      </c>
      <c r="B410" s="11" t="s">
        <v>18</v>
      </c>
      <c r="C410" s="12">
        <v>14</v>
      </c>
      <c r="D410" s="12" t="s">
        <v>108</v>
      </c>
      <c r="E410" s="12" t="s">
        <v>107</v>
      </c>
      <c r="F410" s="13">
        <v>0</v>
      </c>
      <c r="G410" s="12" t="str">
        <f>VLOOKUP(InputData[[#This Row],[PRODUCT ID]],MasterData[],2,0)</f>
        <v>Product06</v>
      </c>
      <c r="H410" s="12" t="str">
        <f>VLOOKUP(InputData[[#This Row],[PRODUCT ID]],MasterData[],3,0)</f>
        <v>Category01</v>
      </c>
      <c r="I410" s="12" t="str">
        <f>VLOOKUP(InputData[[#This Row],[PRODUCT ID]],MasterData[],4,0)</f>
        <v>Kg</v>
      </c>
      <c r="J410" s="14">
        <f>VLOOKUP(InputData[[#This Row],[PRODUCT ID]],MasterData[],5,0)</f>
        <v>75</v>
      </c>
      <c r="K410" s="14">
        <f>VLOOKUP(InputData[[#This Row],[PRODUCT ID]],MasterData[],5,0)</f>
        <v>75</v>
      </c>
      <c r="L410" s="14">
        <f>InputData[[#This Row],[BUYING PRIZE]]*InputData[[#This Row],[QUANTITY]]</f>
        <v>1050</v>
      </c>
      <c r="M410" s="14">
        <f>InputData[[#This Row],[SELLING PRICE]]*InputData[[#This Row],[QUANTITY]]*(1-InputData[[#This Row],[DISCOUNT %]])</f>
        <v>1050</v>
      </c>
      <c r="N410" s="12">
        <f>DAY(InputData[[#This Row],[DATE]])</f>
        <v>24</v>
      </c>
      <c r="O410" s="12" t="str">
        <f>TEXT(InputData[[#This Row],[DATE]],"mmm")</f>
        <v>Jul</v>
      </c>
      <c r="P410" s="12">
        <f>YEAR(InputData[[#This Row],[DATE]])</f>
        <v>2022</v>
      </c>
      <c r="Q410" s="12"/>
    </row>
    <row r="411" spans="1:17" x14ac:dyDescent="0.3">
      <c r="A411" s="10">
        <v>44766</v>
      </c>
      <c r="B411" s="11" t="s">
        <v>63</v>
      </c>
      <c r="C411" s="12">
        <v>1</v>
      </c>
      <c r="D411" s="12" t="s">
        <v>106</v>
      </c>
      <c r="E411" s="12" t="s">
        <v>106</v>
      </c>
      <c r="F411" s="13">
        <v>0</v>
      </c>
      <c r="G411" s="12" t="str">
        <f>VLOOKUP(InputData[[#This Row],[PRODUCT ID]],MasterData[],2,0)</f>
        <v>Product27</v>
      </c>
      <c r="H411" s="12" t="str">
        <f>VLOOKUP(InputData[[#This Row],[PRODUCT ID]],MasterData[],3,0)</f>
        <v>Category04</v>
      </c>
      <c r="I411" s="12" t="str">
        <f>VLOOKUP(InputData[[#This Row],[PRODUCT ID]],MasterData[],4,0)</f>
        <v>Lt</v>
      </c>
      <c r="J411" s="14">
        <f>VLOOKUP(InputData[[#This Row],[PRODUCT ID]],MasterData[],5,0)</f>
        <v>48</v>
      </c>
      <c r="K411" s="14">
        <f>VLOOKUP(InputData[[#This Row],[PRODUCT ID]],MasterData[],5,0)</f>
        <v>48</v>
      </c>
      <c r="L411" s="14">
        <f>InputData[[#This Row],[BUYING PRIZE]]*InputData[[#This Row],[QUANTITY]]</f>
        <v>48</v>
      </c>
      <c r="M411" s="14">
        <f>InputData[[#This Row],[SELLING PRICE]]*InputData[[#This Row],[QUANTITY]]*(1-InputData[[#This Row],[DISCOUNT %]])</f>
        <v>48</v>
      </c>
      <c r="N411" s="12">
        <f>DAY(InputData[[#This Row],[DATE]])</f>
        <v>24</v>
      </c>
      <c r="O411" s="12" t="str">
        <f>TEXT(InputData[[#This Row],[DATE]],"mmm")</f>
        <v>Jul</v>
      </c>
      <c r="P411" s="12">
        <f>YEAR(InputData[[#This Row],[DATE]])</f>
        <v>2022</v>
      </c>
      <c r="Q411" s="12"/>
    </row>
    <row r="412" spans="1:17" x14ac:dyDescent="0.3">
      <c r="A412" s="10">
        <v>44767</v>
      </c>
      <c r="B412" s="11" t="s">
        <v>98</v>
      </c>
      <c r="C412" s="12">
        <v>2</v>
      </c>
      <c r="D412" s="12" t="s">
        <v>108</v>
      </c>
      <c r="E412" s="12" t="s">
        <v>107</v>
      </c>
      <c r="F412" s="13">
        <v>0</v>
      </c>
      <c r="G412" s="12" t="str">
        <f>VLOOKUP(InputData[[#This Row],[PRODUCT ID]],MasterData[],2,0)</f>
        <v>Product44</v>
      </c>
      <c r="H412" s="12" t="str">
        <f>VLOOKUP(InputData[[#This Row],[PRODUCT ID]],MasterData[],3,0)</f>
        <v>Category05</v>
      </c>
      <c r="I412" s="12" t="str">
        <f>VLOOKUP(InputData[[#This Row],[PRODUCT ID]],MasterData[],4,0)</f>
        <v>Kg</v>
      </c>
      <c r="J412" s="14">
        <f>VLOOKUP(InputData[[#This Row],[PRODUCT ID]],MasterData[],5,0)</f>
        <v>76</v>
      </c>
      <c r="K412" s="14">
        <f>VLOOKUP(InputData[[#This Row],[PRODUCT ID]],MasterData[],5,0)</f>
        <v>76</v>
      </c>
      <c r="L412" s="14">
        <f>InputData[[#This Row],[BUYING PRIZE]]*InputData[[#This Row],[QUANTITY]]</f>
        <v>152</v>
      </c>
      <c r="M412" s="14">
        <f>InputData[[#This Row],[SELLING PRICE]]*InputData[[#This Row],[QUANTITY]]*(1-InputData[[#This Row],[DISCOUNT %]])</f>
        <v>152</v>
      </c>
      <c r="N412" s="12">
        <f>DAY(InputData[[#This Row],[DATE]])</f>
        <v>25</v>
      </c>
      <c r="O412" s="12" t="str">
        <f>TEXT(InputData[[#This Row],[DATE]],"mmm")</f>
        <v>Jul</v>
      </c>
      <c r="P412" s="12">
        <f>YEAR(InputData[[#This Row],[DATE]])</f>
        <v>2022</v>
      </c>
      <c r="Q412" s="12"/>
    </row>
    <row r="413" spans="1:17" x14ac:dyDescent="0.3">
      <c r="A413" s="10">
        <v>44767</v>
      </c>
      <c r="B413" s="11" t="s">
        <v>41</v>
      </c>
      <c r="C413" s="12">
        <v>12</v>
      </c>
      <c r="D413" s="12" t="s">
        <v>108</v>
      </c>
      <c r="E413" s="12" t="s">
        <v>107</v>
      </c>
      <c r="F413" s="13">
        <v>0</v>
      </c>
      <c r="G413" s="12" t="str">
        <f>VLOOKUP(InputData[[#This Row],[PRODUCT ID]],MasterData[],2,0)</f>
        <v>Product17</v>
      </c>
      <c r="H413" s="12" t="str">
        <f>VLOOKUP(InputData[[#This Row],[PRODUCT ID]],MasterData[],3,0)</f>
        <v>Category02</v>
      </c>
      <c r="I413" s="12" t="str">
        <f>VLOOKUP(InputData[[#This Row],[PRODUCT ID]],MasterData[],4,0)</f>
        <v>Ft</v>
      </c>
      <c r="J413" s="14">
        <f>VLOOKUP(InputData[[#This Row],[PRODUCT ID]],MasterData[],5,0)</f>
        <v>134</v>
      </c>
      <c r="K413" s="14">
        <f>VLOOKUP(InputData[[#This Row],[PRODUCT ID]],MasterData[],5,0)</f>
        <v>134</v>
      </c>
      <c r="L413" s="14">
        <f>InputData[[#This Row],[BUYING PRIZE]]*InputData[[#This Row],[QUANTITY]]</f>
        <v>1608</v>
      </c>
      <c r="M413" s="14">
        <f>InputData[[#This Row],[SELLING PRICE]]*InputData[[#This Row],[QUANTITY]]*(1-InputData[[#This Row],[DISCOUNT %]])</f>
        <v>1608</v>
      </c>
      <c r="N413" s="12">
        <f>DAY(InputData[[#This Row],[DATE]])</f>
        <v>25</v>
      </c>
      <c r="O413" s="12" t="str">
        <f>TEXT(InputData[[#This Row],[DATE]],"mmm")</f>
        <v>Jul</v>
      </c>
      <c r="P413" s="12">
        <f>YEAR(InputData[[#This Row],[DATE]])</f>
        <v>2022</v>
      </c>
      <c r="Q413" s="12"/>
    </row>
    <row r="414" spans="1:17" x14ac:dyDescent="0.3">
      <c r="A414" s="10">
        <v>44767</v>
      </c>
      <c r="B414" s="11" t="s">
        <v>12</v>
      </c>
      <c r="C414" s="12">
        <v>13</v>
      </c>
      <c r="D414" s="12" t="s">
        <v>106</v>
      </c>
      <c r="E414" s="12" t="s">
        <v>107</v>
      </c>
      <c r="F414" s="13">
        <v>0</v>
      </c>
      <c r="G414" s="12" t="str">
        <f>VLOOKUP(InputData[[#This Row],[PRODUCT ID]],MasterData[],2,0)</f>
        <v>Product03</v>
      </c>
      <c r="H414" s="12" t="str">
        <f>VLOOKUP(InputData[[#This Row],[PRODUCT ID]],MasterData[],3,0)</f>
        <v>Category01</v>
      </c>
      <c r="I414" s="12" t="str">
        <f>VLOOKUP(InputData[[#This Row],[PRODUCT ID]],MasterData[],4,0)</f>
        <v>Kg</v>
      </c>
      <c r="J414" s="14">
        <f>VLOOKUP(InputData[[#This Row],[PRODUCT ID]],MasterData[],5,0)</f>
        <v>71</v>
      </c>
      <c r="K414" s="14">
        <f>VLOOKUP(InputData[[#This Row],[PRODUCT ID]],MasterData[],5,0)</f>
        <v>71</v>
      </c>
      <c r="L414" s="14">
        <f>InputData[[#This Row],[BUYING PRIZE]]*InputData[[#This Row],[QUANTITY]]</f>
        <v>923</v>
      </c>
      <c r="M414" s="14">
        <f>InputData[[#This Row],[SELLING PRICE]]*InputData[[#This Row],[QUANTITY]]*(1-InputData[[#This Row],[DISCOUNT %]])</f>
        <v>923</v>
      </c>
      <c r="N414" s="12">
        <f>DAY(InputData[[#This Row],[DATE]])</f>
        <v>25</v>
      </c>
      <c r="O414" s="12" t="str">
        <f>TEXT(InputData[[#This Row],[DATE]],"mmm")</f>
        <v>Jul</v>
      </c>
      <c r="P414" s="12">
        <f>YEAR(InputData[[#This Row],[DATE]])</f>
        <v>2022</v>
      </c>
      <c r="Q414" s="12"/>
    </row>
    <row r="415" spans="1:17" x14ac:dyDescent="0.3">
      <c r="A415" s="10">
        <v>44768</v>
      </c>
      <c r="B415" s="11" t="s">
        <v>12</v>
      </c>
      <c r="C415" s="12">
        <v>10</v>
      </c>
      <c r="D415" s="12" t="s">
        <v>106</v>
      </c>
      <c r="E415" s="12" t="s">
        <v>106</v>
      </c>
      <c r="F415" s="13">
        <v>0</v>
      </c>
      <c r="G415" s="12" t="str">
        <f>VLOOKUP(InputData[[#This Row],[PRODUCT ID]],MasterData[],2,0)</f>
        <v>Product03</v>
      </c>
      <c r="H415" s="12" t="str">
        <f>VLOOKUP(InputData[[#This Row],[PRODUCT ID]],MasterData[],3,0)</f>
        <v>Category01</v>
      </c>
      <c r="I415" s="12" t="str">
        <f>VLOOKUP(InputData[[#This Row],[PRODUCT ID]],MasterData[],4,0)</f>
        <v>Kg</v>
      </c>
      <c r="J415" s="14">
        <f>VLOOKUP(InputData[[#This Row],[PRODUCT ID]],MasterData[],5,0)</f>
        <v>71</v>
      </c>
      <c r="K415" s="14">
        <f>VLOOKUP(InputData[[#This Row],[PRODUCT ID]],MasterData[],5,0)</f>
        <v>71</v>
      </c>
      <c r="L415" s="14">
        <f>InputData[[#This Row],[BUYING PRIZE]]*InputData[[#This Row],[QUANTITY]]</f>
        <v>710</v>
      </c>
      <c r="M415" s="14">
        <f>InputData[[#This Row],[SELLING PRICE]]*InputData[[#This Row],[QUANTITY]]*(1-InputData[[#This Row],[DISCOUNT %]])</f>
        <v>710</v>
      </c>
      <c r="N415" s="12">
        <f>DAY(InputData[[#This Row],[DATE]])</f>
        <v>26</v>
      </c>
      <c r="O415" s="12" t="str">
        <f>TEXT(InputData[[#This Row],[DATE]],"mmm")</f>
        <v>Jul</v>
      </c>
      <c r="P415" s="12">
        <f>YEAR(InputData[[#This Row],[DATE]])</f>
        <v>2022</v>
      </c>
      <c r="Q415" s="12"/>
    </row>
    <row r="416" spans="1:17" x14ac:dyDescent="0.3">
      <c r="A416" s="10">
        <v>44768</v>
      </c>
      <c r="B416" s="11" t="s">
        <v>60</v>
      </c>
      <c r="C416" s="12">
        <v>1</v>
      </c>
      <c r="D416" s="12" t="s">
        <v>106</v>
      </c>
      <c r="E416" s="12" t="s">
        <v>107</v>
      </c>
      <c r="F416" s="13">
        <v>0</v>
      </c>
      <c r="G416" s="12" t="str">
        <f>VLOOKUP(InputData[[#This Row],[PRODUCT ID]],MasterData[],2,0)</f>
        <v>Product26</v>
      </c>
      <c r="H416" s="12" t="str">
        <f>VLOOKUP(InputData[[#This Row],[PRODUCT ID]],MasterData[],3,0)</f>
        <v>Category04</v>
      </c>
      <c r="I416" s="12" t="str">
        <f>VLOOKUP(InputData[[#This Row],[PRODUCT ID]],MasterData[],4,0)</f>
        <v>No.</v>
      </c>
      <c r="J416" s="14">
        <f>VLOOKUP(InputData[[#This Row],[PRODUCT ID]],MasterData[],5,0)</f>
        <v>18</v>
      </c>
      <c r="K416" s="14">
        <f>VLOOKUP(InputData[[#This Row],[PRODUCT ID]],MasterData[],5,0)</f>
        <v>18</v>
      </c>
      <c r="L416" s="14">
        <f>InputData[[#This Row],[BUYING PRIZE]]*InputData[[#This Row],[QUANTITY]]</f>
        <v>18</v>
      </c>
      <c r="M416" s="14">
        <f>InputData[[#This Row],[SELLING PRICE]]*InputData[[#This Row],[QUANTITY]]*(1-InputData[[#This Row],[DISCOUNT %]])</f>
        <v>18</v>
      </c>
      <c r="N416" s="12">
        <f>DAY(InputData[[#This Row],[DATE]])</f>
        <v>26</v>
      </c>
      <c r="O416" s="12" t="str">
        <f>TEXT(InputData[[#This Row],[DATE]],"mmm")</f>
        <v>Jul</v>
      </c>
      <c r="P416" s="12">
        <f>YEAR(InputData[[#This Row],[DATE]])</f>
        <v>2022</v>
      </c>
      <c r="Q416" s="12"/>
    </row>
    <row r="417" spans="1:17" x14ac:dyDescent="0.3">
      <c r="A417" s="10">
        <v>44776</v>
      </c>
      <c r="B417" s="11" t="s">
        <v>31</v>
      </c>
      <c r="C417" s="12">
        <v>5</v>
      </c>
      <c r="D417" s="12" t="s">
        <v>108</v>
      </c>
      <c r="E417" s="12" t="s">
        <v>107</v>
      </c>
      <c r="F417" s="13">
        <v>0</v>
      </c>
      <c r="G417" s="12" t="str">
        <f>VLOOKUP(InputData[[#This Row],[PRODUCT ID]],MasterData[],2,0)</f>
        <v>Product12</v>
      </c>
      <c r="H417" s="12" t="str">
        <f>VLOOKUP(InputData[[#This Row],[PRODUCT ID]],MasterData[],3,0)</f>
        <v>Category02</v>
      </c>
      <c r="I417" s="12" t="str">
        <f>VLOOKUP(InputData[[#This Row],[PRODUCT ID]],MasterData[],4,0)</f>
        <v>Kg</v>
      </c>
      <c r="J417" s="14">
        <f>VLOOKUP(InputData[[#This Row],[PRODUCT ID]],MasterData[],5,0)</f>
        <v>73</v>
      </c>
      <c r="K417" s="14">
        <f>VLOOKUP(InputData[[#This Row],[PRODUCT ID]],MasterData[],5,0)</f>
        <v>73</v>
      </c>
      <c r="L417" s="14">
        <f>InputData[[#This Row],[BUYING PRIZE]]*InputData[[#This Row],[QUANTITY]]</f>
        <v>365</v>
      </c>
      <c r="M417" s="14">
        <f>InputData[[#This Row],[SELLING PRICE]]*InputData[[#This Row],[QUANTITY]]*(1-InputData[[#This Row],[DISCOUNT %]])</f>
        <v>365</v>
      </c>
      <c r="N417" s="12">
        <f>DAY(InputData[[#This Row],[DATE]])</f>
        <v>3</v>
      </c>
      <c r="O417" s="12" t="str">
        <f>TEXT(InputData[[#This Row],[DATE]],"mmm")</f>
        <v>Aug</v>
      </c>
      <c r="P417" s="12">
        <f>YEAR(InputData[[#This Row],[DATE]])</f>
        <v>2022</v>
      </c>
      <c r="Q417" s="12"/>
    </row>
    <row r="418" spans="1:17" x14ac:dyDescent="0.3">
      <c r="A418" s="10">
        <v>44779</v>
      </c>
      <c r="B418" s="11" t="s">
        <v>39</v>
      </c>
      <c r="C418" s="12">
        <v>9</v>
      </c>
      <c r="D418" s="12" t="s">
        <v>106</v>
      </c>
      <c r="E418" s="12" t="s">
        <v>106</v>
      </c>
      <c r="F418" s="13">
        <v>0</v>
      </c>
      <c r="G418" s="12" t="str">
        <f>VLOOKUP(InputData[[#This Row],[PRODUCT ID]],MasterData[],2,0)</f>
        <v>Product16</v>
      </c>
      <c r="H418" s="12" t="str">
        <f>VLOOKUP(InputData[[#This Row],[PRODUCT ID]],MasterData[],3,0)</f>
        <v>Category02</v>
      </c>
      <c r="I418" s="12" t="str">
        <f>VLOOKUP(InputData[[#This Row],[PRODUCT ID]],MasterData[],4,0)</f>
        <v>No.</v>
      </c>
      <c r="J418" s="14">
        <f>VLOOKUP(InputData[[#This Row],[PRODUCT ID]],MasterData[],5,0)</f>
        <v>13</v>
      </c>
      <c r="K418" s="14">
        <f>VLOOKUP(InputData[[#This Row],[PRODUCT ID]],MasterData[],5,0)</f>
        <v>13</v>
      </c>
      <c r="L418" s="14">
        <f>InputData[[#This Row],[BUYING PRIZE]]*InputData[[#This Row],[QUANTITY]]</f>
        <v>117</v>
      </c>
      <c r="M418" s="14">
        <f>InputData[[#This Row],[SELLING PRICE]]*InputData[[#This Row],[QUANTITY]]*(1-InputData[[#This Row],[DISCOUNT %]])</f>
        <v>117</v>
      </c>
      <c r="N418" s="12">
        <f>DAY(InputData[[#This Row],[DATE]])</f>
        <v>6</v>
      </c>
      <c r="O418" s="12" t="str">
        <f>TEXT(InputData[[#This Row],[DATE]],"mmm")</f>
        <v>Aug</v>
      </c>
      <c r="P418" s="12">
        <f>YEAR(InputData[[#This Row],[DATE]])</f>
        <v>2022</v>
      </c>
      <c r="Q418" s="12"/>
    </row>
    <row r="419" spans="1:17" x14ac:dyDescent="0.3">
      <c r="A419" s="10">
        <v>44781</v>
      </c>
      <c r="B419" s="11" t="s">
        <v>39</v>
      </c>
      <c r="C419" s="12">
        <v>2</v>
      </c>
      <c r="D419" s="12" t="s">
        <v>108</v>
      </c>
      <c r="E419" s="12" t="s">
        <v>106</v>
      </c>
      <c r="F419" s="13">
        <v>0</v>
      </c>
      <c r="G419" s="12" t="str">
        <f>VLOOKUP(InputData[[#This Row],[PRODUCT ID]],MasterData[],2,0)</f>
        <v>Product16</v>
      </c>
      <c r="H419" s="12" t="str">
        <f>VLOOKUP(InputData[[#This Row],[PRODUCT ID]],MasterData[],3,0)</f>
        <v>Category02</v>
      </c>
      <c r="I419" s="12" t="str">
        <f>VLOOKUP(InputData[[#This Row],[PRODUCT ID]],MasterData[],4,0)</f>
        <v>No.</v>
      </c>
      <c r="J419" s="14">
        <f>VLOOKUP(InputData[[#This Row],[PRODUCT ID]],MasterData[],5,0)</f>
        <v>13</v>
      </c>
      <c r="K419" s="14">
        <f>VLOOKUP(InputData[[#This Row],[PRODUCT ID]],MasterData[],5,0)</f>
        <v>13</v>
      </c>
      <c r="L419" s="14">
        <f>InputData[[#This Row],[BUYING PRIZE]]*InputData[[#This Row],[QUANTITY]]</f>
        <v>26</v>
      </c>
      <c r="M419" s="14">
        <f>InputData[[#This Row],[SELLING PRICE]]*InputData[[#This Row],[QUANTITY]]*(1-InputData[[#This Row],[DISCOUNT %]])</f>
        <v>26</v>
      </c>
      <c r="N419" s="12">
        <f>DAY(InputData[[#This Row],[DATE]])</f>
        <v>8</v>
      </c>
      <c r="O419" s="12" t="str">
        <f>TEXT(InputData[[#This Row],[DATE]],"mmm")</f>
        <v>Aug</v>
      </c>
      <c r="P419" s="12">
        <f>YEAR(InputData[[#This Row],[DATE]])</f>
        <v>2022</v>
      </c>
      <c r="Q419" s="12"/>
    </row>
    <row r="420" spans="1:17" x14ac:dyDescent="0.3">
      <c r="A420" s="10">
        <v>44781</v>
      </c>
      <c r="B420" s="11" t="s">
        <v>73</v>
      </c>
      <c r="C420" s="12">
        <v>12</v>
      </c>
      <c r="D420" s="12" t="s">
        <v>108</v>
      </c>
      <c r="E420" s="12" t="s">
        <v>107</v>
      </c>
      <c r="F420" s="13">
        <v>0</v>
      </c>
      <c r="G420" s="12" t="str">
        <f>VLOOKUP(InputData[[#This Row],[PRODUCT ID]],MasterData[],2,0)</f>
        <v>Product32</v>
      </c>
      <c r="H420" s="12" t="str">
        <f>VLOOKUP(InputData[[#This Row],[PRODUCT ID]],MasterData[],3,0)</f>
        <v>Category04</v>
      </c>
      <c r="I420" s="12" t="str">
        <f>VLOOKUP(InputData[[#This Row],[PRODUCT ID]],MasterData[],4,0)</f>
        <v>Kg</v>
      </c>
      <c r="J420" s="14">
        <f>VLOOKUP(InputData[[#This Row],[PRODUCT ID]],MasterData[],5,0)</f>
        <v>89</v>
      </c>
      <c r="K420" s="14">
        <f>VLOOKUP(InputData[[#This Row],[PRODUCT ID]],MasterData[],5,0)</f>
        <v>89</v>
      </c>
      <c r="L420" s="14">
        <f>InputData[[#This Row],[BUYING PRIZE]]*InputData[[#This Row],[QUANTITY]]</f>
        <v>1068</v>
      </c>
      <c r="M420" s="14">
        <f>InputData[[#This Row],[SELLING PRICE]]*InputData[[#This Row],[QUANTITY]]*(1-InputData[[#This Row],[DISCOUNT %]])</f>
        <v>1068</v>
      </c>
      <c r="N420" s="12">
        <f>DAY(InputData[[#This Row],[DATE]])</f>
        <v>8</v>
      </c>
      <c r="O420" s="12" t="str">
        <f>TEXT(InputData[[#This Row],[DATE]],"mmm")</f>
        <v>Aug</v>
      </c>
      <c r="P420" s="12">
        <f>YEAR(InputData[[#This Row],[DATE]])</f>
        <v>2022</v>
      </c>
      <c r="Q420" s="12"/>
    </row>
    <row r="421" spans="1:17" x14ac:dyDescent="0.3">
      <c r="A421" s="10">
        <v>44781</v>
      </c>
      <c r="B421" s="11" t="s">
        <v>50</v>
      </c>
      <c r="C421" s="12">
        <v>11</v>
      </c>
      <c r="D421" s="12" t="s">
        <v>108</v>
      </c>
      <c r="E421" s="12" t="s">
        <v>107</v>
      </c>
      <c r="F421" s="13">
        <v>0</v>
      </c>
      <c r="G421" s="12" t="str">
        <f>VLOOKUP(InputData[[#This Row],[PRODUCT ID]],MasterData[],2,0)</f>
        <v>Product21</v>
      </c>
      <c r="H421" s="12" t="str">
        <f>VLOOKUP(InputData[[#This Row],[PRODUCT ID]],MasterData[],3,0)</f>
        <v>Category03</v>
      </c>
      <c r="I421" s="12" t="str">
        <f>VLOOKUP(InputData[[#This Row],[PRODUCT ID]],MasterData[],4,0)</f>
        <v>Ft</v>
      </c>
      <c r="J421" s="14">
        <f>VLOOKUP(InputData[[#This Row],[PRODUCT ID]],MasterData[],5,0)</f>
        <v>126</v>
      </c>
      <c r="K421" s="14">
        <f>VLOOKUP(InputData[[#This Row],[PRODUCT ID]],MasterData[],5,0)</f>
        <v>126</v>
      </c>
      <c r="L421" s="14">
        <f>InputData[[#This Row],[BUYING PRIZE]]*InputData[[#This Row],[QUANTITY]]</f>
        <v>1386</v>
      </c>
      <c r="M421" s="14">
        <f>InputData[[#This Row],[SELLING PRICE]]*InputData[[#This Row],[QUANTITY]]*(1-InputData[[#This Row],[DISCOUNT %]])</f>
        <v>1386</v>
      </c>
      <c r="N421" s="12">
        <f>DAY(InputData[[#This Row],[DATE]])</f>
        <v>8</v>
      </c>
      <c r="O421" s="12" t="str">
        <f>TEXT(InputData[[#This Row],[DATE]],"mmm")</f>
        <v>Aug</v>
      </c>
      <c r="P421" s="12">
        <f>YEAR(InputData[[#This Row],[DATE]])</f>
        <v>2022</v>
      </c>
      <c r="Q421" s="12"/>
    </row>
    <row r="422" spans="1:17" x14ac:dyDescent="0.3">
      <c r="A422" s="10">
        <v>44787</v>
      </c>
      <c r="B422" s="11" t="s">
        <v>69</v>
      </c>
      <c r="C422" s="12">
        <v>14</v>
      </c>
      <c r="D422" s="12" t="s">
        <v>108</v>
      </c>
      <c r="E422" s="12" t="s">
        <v>107</v>
      </c>
      <c r="F422" s="13">
        <v>0</v>
      </c>
      <c r="G422" s="12" t="str">
        <f>VLOOKUP(InputData[[#This Row],[PRODUCT ID]],MasterData[],2,0)</f>
        <v>Product30</v>
      </c>
      <c r="H422" s="12" t="str">
        <f>VLOOKUP(InputData[[#This Row],[PRODUCT ID]],MasterData[],3,0)</f>
        <v>Category04</v>
      </c>
      <c r="I422" s="12" t="str">
        <f>VLOOKUP(InputData[[#This Row],[PRODUCT ID]],MasterData[],4,0)</f>
        <v>Ft</v>
      </c>
      <c r="J422" s="14">
        <f>VLOOKUP(InputData[[#This Row],[PRODUCT ID]],MasterData[],5,0)</f>
        <v>148</v>
      </c>
      <c r="K422" s="14">
        <f>VLOOKUP(InputData[[#This Row],[PRODUCT ID]],MasterData[],5,0)</f>
        <v>148</v>
      </c>
      <c r="L422" s="14">
        <f>InputData[[#This Row],[BUYING PRIZE]]*InputData[[#This Row],[QUANTITY]]</f>
        <v>2072</v>
      </c>
      <c r="M422" s="14">
        <f>InputData[[#This Row],[SELLING PRICE]]*InputData[[#This Row],[QUANTITY]]*(1-InputData[[#This Row],[DISCOUNT %]])</f>
        <v>2072</v>
      </c>
      <c r="N422" s="12">
        <f>DAY(InputData[[#This Row],[DATE]])</f>
        <v>14</v>
      </c>
      <c r="O422" s="12" t="str">
        <f>TEXT(InputData[[#This Row],[DATE]],"mmm")</f>
        <v>Aug</v>
      </c>
      <c r="P422" s="12">
        <f>YEAR(InputData[[#This Row],[DATE]])</f>
        <v>2022</v>
      </c>
      <c r="Q422" s="12"/>
    </row>
    <row r="423" spans="1:17" x14ac:dyDescent="0.3">
      <c r="A423" s="10">
        <v>44788</v>
      </c>
      <c r="B423" s="11" t="s">
        <v>29</v>
      </c>
      <c r="C423" s="12">
        <v>10</v>
      </c>
      <c r="D423" s="12" t="s">
        <v>105</v>
      </c>
      <c r="E423" s="12" t="s">
        <v>107</v>
      </c>
      <c r="F423" s="13">
        <v>0</v>
      </c>
      <c r="G423" s="12" t="str">
        <f>VLOOKUP(InputData[[#This Row],[PRODUCT ID]],MasterData[],2,0)</f>
        <v>Product11</v>
      </c>
      <c r="H423" s="12" t="str">
        <f>VLOOKUP(InputData[[#This Row],[PRODUCT ID]],MasterData[],3,0)</f>
        <v>Category02</v>
      </c>
      <c r="I423" s="12" t="str">
        <f>VLOOKUP(InputData[[#This Row],[PRODUCT ID]],MasterData[],4,0)</f>
        <v>Lt</v>
      </c>
      <c r="J423" s="14">
        <f>VLOOKUP(InputData[[#This Row],[PRODUCT ID]],MasterData[],5,0)</f>
        <v>44</v>
      </c>
      <c r="K423" s="14">
        <f>VLOOKUP(InputData[[#This Row],[PRODUCT ID]],MasterData[],5,0)</f>
        <v>44</v>
      </c>
      <c r="L423" s="14">
        <f>InputData[[#This Row],[BUYING PRIZE]]*InputData[[#This Row],[QUANTITY]]</f>
        <v>440</v>
      </c>
      <c r="M423" s="14">
        <f>InputData[[#This Row],[SELLING PRICE]]*InputData[[#This Row],[QUANTITY]]*(1-InputData[[#This Row],[DISCOUNT %]])</f>
        <v>440</v>
      </c>
      <c r="N423" s="12">
        <f>DAY(InputData[[#This Row],[DATE]])</f>
        <v>15</v>
      </c>
      <c r="O423" s="12" t="str">
        <f>TEXT(InputData[[#This Row],[DATE]],"mmm")</f>
        <v>Aug</v>
      </c>
      <c r="P423" s="12">
        <f>YEAR(InputData[[#This Row],[DATE]])</f>
        <v>2022</v>
      </c>
      <c r="Q423" s="12"/>
    </row>
    <row r="424" spans="1:17" x14ac:dyDescent="0.3">
      <c r="A424" s="10">
        <v>44788</v>
      </c>
      <c r="B424" s="11" t="s">
        <v>37</v>
      </c>
      <c r="C424" s="12">
        <v>7</v>
      </c>
      <c r="D424" s="12" t="s">
        <v>108</v>
      </c>
      <c r="E424" s="12" t="s">
        <v>106</v>
      </c>
      <c r="F424" s="13">
        <v>0</v>
      </c>
      <c r="G424" s="12" t="str">
        <f>VLOOKUP(InputData[[#This Row],[PRODUCT ID]],MasterData[],2,0)</f>
        <v>Product15</v>
      </c>
      <c r="H424" s="12" t="str">
        <f>VLOOKUP(InputData[[#This Row],[PRODUCT ID]],MasterData[],3,0)</f>
        <v>Category02</v>
      </c>
      <c r="I424" s="12" t="str">
        <f>VLOOKUP(InputData[[#This Row],[PRODUCT ID]],MasterData[],4,0)</f>
        <v>No.</v>
      </c>
      <c r="J424" s="14">
        <f>VLOOKUP(InputData[[#This Row],[PRODUCT ID]],MasterData[],5,0)</f>
        <v>12</v>
      </c>
      <c r="K424" s="14">
        <f>VLOOKUP(InputData[[#This Row],[PRODUCT ID]],MasterData[],5,0)</f>
        <v>12</v>
      </c>
      <c r="L424" s="14">
        <f>InputData[[#This Row],[BUYING PRIZE]]*InputData[[#This Row],[QUANTITY]]</f>
        <v>84</v>
      </c>
      <c r="M424" s="14">
        <f>InputData[[#This Row],[SELLING PRICE]]*InputData[[#This Row],[QUANTITY]]*(1-InputData[[#This Row],[DISCOUNT %]])</f>
        <v>84</v>
      </c>
      <c r="N424" s="12">
        <f>DAY(InputData[[#This Row],[DATE]])</f>
        <v>15</v>
      </c>
      <c r="O424" s="12" t="str">
        <f>TEXT(InputData[[#This Row],[DATE]],"mmm")</f>
        <v>Aug</v>
      </c>
      <c r="P424" s="12">
        <f>YEAR(InputData[[#This Row],[DATE]])</f>
        <v>2022</v>
      </c>
      <c r="Q424" s="12"/>
    </row>
    <row r="425" spans="1:17" x14ac:dyDescent="0.3">
      <c r="A425" s="10">
        <v>44791</v>
      </c>
      <c r="B425" s="11" t="s">
        <v>67</v>
      </c>
      <c r="C425" s="12">
        <v>8</v>
      </c>
      <c r="D425" s="12" t="s">
        <v>106</v>
      </c>
      <c r="E425" s="12" t="s">
        <v>106</v>
      </c>
      <c r="F425" s="13">
        <v>0</v>
      </c>
      <c r="G425" s="12" t="str">
        <f>VLOOKUP(InputData[[#This Row],[PRODUCT ID]],MasterData[],2,0)</f>
        <v>Product29</v>
      </c>
      <c r="H425" s="12" t="str">
        <f>VLOOKUP(InputData[[#This Row],[PRODUCT ID]],MasterData[],3,0)</f>
        <v>Category04</v>
      </c>
      <c r="I425" s="12" t="str">
        <f>VLOOKUP(InputData[[#This Row],[PRODUCT ID]],MasterData[],4,0)</f>
        <v>Lt</v>
      </c>
      <c r="J425" s="14">
        <f>VLOOKUP(InputData[[#This Row],[PRODUCT ID]],MasterData[],5,0)</f>
        <v>47</v>
      </c>
      <c r="K425" s="14">
        <f>VLOOKUP(InputData[[#This Row],[PRODUCT ID]],MasterData[],5,0)</f>
        <v>47</v>
      </c>
      <c r="L425" s="14">
        <f>InputData[[#This Row],[BUYING PRIZE]]*InputData[[#This Row],[QUANTITY]]</f>
        <v>376</v>
      </c>
      <c r="M425" s="14">
        <f>InputData[[#This Row],[SELLING PRICE]]*InputData[[#This Row],[QUANTITY]]*(1-InputData[[#This Row],[DISCOUNT %]])</f>
        <v>376</v>
      </c>
      <c r="N425" s="12">
        <f>DAY(InputData[[#This Row],[DATE]])</f>
        <v>18</v>
      </c>
      <c r="O425" s="12" t="str">
        <f>TEXT(InputData[[#This Row],[DATE]],"mmm")</f>
        <v>Aug</v>
      </c>
      <c r="P425" s="12">
        <f>YEAR(InputData[[#This Row],[DATE]])</f>
        <v>2022</v>
      </c>
      <c r="Q425" s="12"/>
    </row>
    <row r="426" spans="1:17" x14ac:dyDescent="0.3">
      <c r="A426" s="10">
        <v>44791</v>
      </c>
      <c r="B426" s="11" t="s">
        <v>26</v>
      </c>
      <c r="C426" s="12">
        <v>2</v>
      </c>
      <c r="D426" s="12" t="s">
        <v>106</v>
      </c>
      <c r="E426" s="12" t="s">
        <v>107</v>
      </c>
      <c r="F426" s="13">
        <v>0</v>
      </c>
      <c r="G426" s="12" t="str">
        <f>VLOOKUP(InputData[[#This Row],[PRODUCT ID]],MasterData[],2,0)</f>
        <v>Product10</v>
      </c>
      <c r="H426" s="12" t="str">
        <f>VLOOKUP(InputData[[#This Row],[PRODUCT ID]],MasterData[],3,0)</f>
        <v>Category02</v>
      </c>
      <c r="I426" s="12" t="str">
        <f>VLOOKUP(InputData[[#This Row],[PRODUCT ID]],MasterData[],4,0)</f>
        <v>Ft</v>
      </c>
      <c r="J426" s="14">
        <f>VLOOKUP(InputData[[#This Row],[PRODUCT ID]],MasterData[],5,0)</f>
        <v>148</v>
      </c>
      <c r="K426" s="14">
        <f>VLOOKUP(InputData[[#This Row],[PRODUCT ID]],MasterData[],5,0)</f>
        <v>148</v>
      </c>
      <c r="L426" s="14">
        <f>InputData[[#This Row],[BUYING PRIZE]]*InputData[[#This Row],[QUANTITY]]</f>
        <v>296</v>
      </c>
      <c r="M426" s="14">
        <f>InputData[[#This Row],[SELLING PRICE]]*InputData[[#This Row],[QUANTITY]]*(1-InputData[[#This Row],[DISCOUNT %]])</f>
        <v>296</v>
      </c>
      <c r="N426" s="12">
        <f>DAY(InputData[[#This Row],[DATE]])</f>
        <v>18</v>
      </c>
      <c r="O426" s="12" t="str">
        <f>TEXT(InputData[[#This Row],[DATE]],"mmm")</f>
        <v>Aug</v>
      </c>
      <c r="P426" s="12">
        <f>YEAR(InputData[[#This Row],[DATE]])</f>
        <v>2022</v>
      </c>
      <c r="Q426" s="12"/>
    </row>
    <row r="427" spans="1:17" x14ac:dyDescent="0.3">
      <c r="A427" s="10">
        <v>44792</v>
      </c>
      <c r="B427" s="11" t="s">
        <v>20</v>
      </c>
      <c r="C427" s="12">
        <v>3</v>
      </c>
      <c r="D427" s="12" t="s">
        <v>106</v>
      </c>
      <c r="E427" s="12" t="s">
        <v>106</v>
      </c>
      <c r="F427" s="13">
        <v>0</v>
      </c>
      <c r="G427" s="12" t="str">
        <f>VLOOKUP(InputData[[#This Row],[PRODUCT ID]],MasterData[],2,0)</f>
        <v>Product07</v>
      </c>
      <c r="H427" s="12" t="str">
        <f>VLOOKUP(InputData[[#This Row],[PRODUCT ID]],MasterData[],3,0)</f>
        <v>Category01</v>
      </c>
      <c r="I427" s="12" t="str">
        <f>VLOOKUP(InputData[[#This Row],[PRODUCT ID]],MasterData[],4,0)</f>
        <v>Lt</v>
      </c>
      <c r="J427" s="14">
        <f>VLOOKUP(InputData[[#This Row],[PRODUCT ID]],MasterData[],5,0)</f>
        <v>43</v>
      </c>
      <c r="K427" s="14">
        <f>VLOOKUP(InputData[[#This Row],[PRODUCT ID]],MasterData[],5,0)</f>
        <v>43</v>
      </c>
      <c r="L427" s="14">
        <f>InputData[[#This Row],[BUYING PRIZE]]*InputData[[#This Row],[QUANTITY]]</f>
        <v>129</v>
      </c>
      <c r="M427" s="14">
        <f>InputData[[#This Row],[SELLING PRICE]]*InputData[[#This Row],[QUANTITY]]*(1-InputData[[#This Row],[DISCOUNT %]])</f>
        <v>129</v>
      </c>
      <c r="N427" s="12">
        <f>DAY(InputData[[#This Row],[DATE]])</f>
        <v>19</v>
      </c>
      <c r="O427" s="12" t="str">
        <f>TEXT(InputData[[#This Row],[DATE]],"mmm")</f>
        <v>Aug</v>
      </c>
      <c r="P427" s="12">
        <f>YEAR(InputData[[#This Row],[DATE]])</f>
        <v>2022</v>
      </c>
      <c r="Q427" s="12"/>
    </row>
    <row r="428" spans="1:17" x14ac:dyDescent="0.3">
      <c r="A428" s="10">
        <v>44793</v>
      </c>
      <c r="B428" s="11" t="s">
        <v>54</v>
      </c>
      <c r="C428" s="12">
        <v>13</v>
      </c>
      <c r="D428" s="12" t="s">
        <v>108</v>
      </c>
      <c r="E428" s="12" t="s">
        <v>106</v>
      </c>
      <c r="F428" s="13">
        <v>0</v>
      </c>
      <c r="G428" s="12" t="str">
        <f>VLOOKUP(InputData[[#This Row],[PRODUCT ID]],MasterData[],2,0)</f>
        <v>Product23</v>
      </c>
      <c r="H428" s="12" t="str">
        <f>VLOOKUP(InputData[[#This Row],[PRODUCT ID]],MasterData[],3,0)</f>
        <v>Category03</v>
      </c>
      <c r="I428" s="12" t="str">
        <f>VLOOKUP(InputData[[#This Row],[PRODUCT ID]],MasterData[],4,0)</f>
        <v>Ft</v>
      </c>
      <c r="J428" s="14">
        <f>VLOOKUP(InputData[[#This Row],[PRODUCT ID]],MasterData[],5,0)</f>
        <v>141</v>
      </c>
      <c r="K428" s="14">
        <f>VLOOKUP(InputData[[#This Row],[PRODUCT ID]],MasterData[],5,0)</f>
        <v>141</v>
      </c>
      <c r="L428" s="14">
        <f>InputData[[#This Row],[BUYING PRIZE]]*InputData[[#This Row],[QUANTITY]]</f>
        <v>1833</v>
      </c>
      <c r="M428" s="14">
        <f>InputData[[#This Row],[SELLING PRICE]]*InputData[[#This Row],[QUANTITY]]*(1-InputData[[#This Row],[DISCOUNT %]])</f>
        <v>1833</v>
      </c>
      <c r="N428" s="12">
        <f>DAY(InputData[[#This Row],[DATE]])</f>
        <v>20</v>
      </c>
      <c r="O428" s="12" t="str">
        <f>TEXT(InputData[[#This Row],[DATE]],"mmm")</f>
        <v>Aug</v>
      </c>
      <c r="P428" s="12">
        <f>YEAR(InputData[[#This Row],[DATE]])</f>
        <v>2022</v>
      </c>
      <c r="Q428" s="12"/>
    </row>
    <row r="429" spans="1:17" x14ac:dyDescent="0.3">
      <c r="A429" s="10">
        <v>44793</v>
      </c>
      <c r="B429" s="11" t="s">
        <v>75</v>
      </c>
      <c r="C429" s="12">
        <v>14</v>
      </c>
      <c r="D429" s="12" t="s">
        <v>108</v>
      </c>
      <c r="E429" s="12" t="s">
        <v>106</v>
      </c>
      <c r="F429" s="13">
        <v>0</v>
      </c>
      <c r="G429" s="12" t="str">
        <f>VLOOKUP(InputData[[#This Row],[PRODUCT ID]],MasterData[],2,0)</f>
        <v>Product33</v>
      </c>
      <c r="H429" s="12" t="str">
        <f>VLOOKUP(InputData[[#This Row],[PRODUCT ID]],MasterData[],3,0)</f>
        <v>Category04</v>
      </c>
      <c r="I429" s="12" t="str">
        <f>VLOOKUP(InputData[[#This Row],[PRODUCT ID]],MasterData[],4,0)</f>
        <v>Kg</v>
      </c>
      <c r="J429" s="14">
        <f>VLOOKUP(InputData[[#This Row],[PRODUCT ID]],MasterData[],5,0)</f>
        <v>95</v>
      </c>
      <c r="K429" s="14">
        <f>VLOOKUP(InputData[[#This Row],[PRODUCT ID]],MasterData[],5,0)</f>
        <v>95</v>
      </c>
      <c r="L429" s="14">
        <f>InputData[[#This Row],[BUYING PRIZE]]*InputData[[#This Row],[QUANTITY]]</f>
        <v>1330</v>
      </c>
      <c r="M429" s="14">
        <f>InputData[[#This Row],[SELLING PRICE]]*InputData[[#This Row],[QUANTITY]]*(1-InputData[[#This Row],[DISCOUNT %]])</f>
        <v>1330</v>
      </c>
      <c r="N429" s="12">
        <f>DAY(InputData[[#This Row],[DATE]])</f>
        <v>20</v>
      </c>
      <c r="O429" s="12" t="str">
        <f>TEXT(InputData[[#This Row],[DATE]],"mmm")</f>
        <v>Aug</v>
      </c>
      <c r="P429" s="12">
        <f>YEAR(InputData[[#This Row],[DATE]])</f>
        <v>2022</v>
      </c>
      <c r="Q429" s="12"/>
    </row>
    <row r="430" spans="1:17" x14ac:dyDescent="0.3">
      <c r="A430" s="10">
        <v>44794</v>
      </c>
      <c r="B430" s="11" t="s">
        <v>39</v>
      </c>
      <c r="C430" s="12">
        <v>4</v>
      </c>
      <c r="D430" s="12" t="s">
        <v>108</v>
      </c>
      <c r="E430" s="12" t="s">
        <v>106</v>
      </c>
      <c r="F430" s="13">
        <v>0</v>
      </c>
      <c r="G430" s="12" t="str">
        <f>VLOOKUP(InputData[[#This Row],[PRODUCT ID]],MasterData[],2,0)</f>
        <v>Product16</v>
      </c>
      <c r="H430" s="12" t="str">
        <f>VLOOKUP(InputData[[#This Row],[PRODUCT ID]],MasterData[],3,0)</f>
        <v>Category02</v>
      </c>
      <c r="I430" s="12" t="str">
        <f>VLOOKUP(InputData[[#This Row],[PRODUCT ID]],MasterData[],4,0)</f>
        <v>No.</v>
      </c>
      <c r="J430" s="14">
        <f>VLOOKUP(InputData[[#This Row],[PRODUCT ID]],MasterData[],5,0)</f>
        <v>13</v>
      </c>
      <c r="K430" s="14">
        <f>VLOOKUP(InputData[[#This Row],[PRODUCT ID]],MasterData[],5,0)</f>
        <v>13</v>
      </c>
      <c r="L430" s="14">
        <f>InputData[[#This Row],[BUYING PRIZE]]*InputData[[#This Row],[QUANTITY]]</f>
        <v>52</v>
      </c>
      <c r="M430" s="14">
        <f>InputData[[#This Row],[SELLING PRICE]]*InputData[[#This Row],[QUANTITY]]*(1-InputData[[#This Row],[DISCOUNT %]])</f>
        <v>52</v>
      </c>
      <c r="N430" s="12">
        <f>DAY(InputData[[#This Row],[DATE]])</f>
        <v>21</v>
      </c>
      <c r="O430" s="12" t="str">
        <f>TEXT(InputData[[#This Row],[DATE]],"mmm")</f>
        <v>Aug</v>
      </c>
      <c r="P430" s="12">
        <f>YEAR(InputData[[#This Row],[DATE]])</f>
        <v>2022</v>
      </c>
      <c r="Q430" s="12"/>
    </row>
    <row r="431" spans="1:17" x14ac:dyDescent="0.3">
      <c r="A431" s="10">
        <v>44796</v>
      </c>
      <c r="B431" s="11" t="s">
        <v>98</v>
      </c>
      <c r="C431" s="12">
        <v>11</v>
      </c>
      <c r="D431" s="12" t="s">
        <v>106</v>
      </c>
      <c r="E431" s="12" t="s">
        <v>106</v>
      </c>
      <c r="F431" s="13">
        <v>0</v>
      </c>
      <c r="G431" s="12" t="str">
        <f>VLOOKUP(InputData[[#This Row],[PRODUCT ID]],MasterData[],2,0)</f>
        <v>Product44</v>
      </c>
      <c r="H431" s="12" t="str">
        <f>VLOOKUP(InputData[[#This Row],[PRODUCT ID]],MasterData[],3,0)</f>
        <v>Category05</v>
      </c>
      <c r="I431" s="12" t="str">
        <f>VLOOKUP(InputData[[#This Row],[PRODUCT ID]],MasterData[],4,0)</f>
        <v>Kg</v>
      </c>
      <c r="J431" s="14">
        <f>VLOOKUP(InputData[[#This Row],[PRODUCT ID]],MasterData[],5,0)</f>
        <v>76</v>
      </c>
      <c r="K431" s="14">
        <f>VLOOKUP(InputData[[#This Row],[PRODUCT ID]],MasterData[],5,0)</f>
        <v>76</v>
      </c>
      <c r="L431" s="14">
        <f>InputData[[#This Row],[BUYING PRIZE]]*InputData[[#This Row],[QUANTITY]]</f>
        <v>836</v>
      </c>
      <c r="M431" s="14">
        <f>InputData[[#This Row],[SELLING PRICE]]*InputData[[#This Row],[QUANTITY]]*(1-InputData[[#This Row],[DISCOUNT %]])</f>
        <v>836</v>
      </c>
      <c r="N431" s="12">
        <f>DAY(InputData[[#This Row],[DATE]])</f>
        <v>23</v>
      </c>
      <c r="O431" s="12" t="str">
        <f>TEXT(InputData[[#This Row],[DATE]],"mmm")</f>
        <v>Aug</v>
      </c>
      <c r="P431" s="12">
        <f>YEAR(InputData[[#This Row],[DATE]])</f>
        <v>2022</v>
      </c>
      <c r="Q431" s="12"/>
    </row>
    <row r="432" spans="1:17" x14ac:dyDescent="0.3">
      <c r="A432" s="10">
        <v>44796</v>
      </c>
      <c r="B432" s="11" t="s">
        <v>67</v>
      </c>
      <c r="C432" s="12">
        <v>14</v>
      </c>
      <c r="D432" s="12" t="s">
        <v>108</v>
      </c>
      <c r="E432" s="12" t="s">
        <v>107</v>
      </c>
      <c r="F432" s="13">
        <v>0</v>
      </c>
      <c r="G432" s="12" t="str">
        <f>VLOOKUP(InputData[[#This Row],[PRODUCT ID]],MasterData[],2,0)</f>
        <v>Product29</v>
      </c>
      <c r="H432" s="12" t="str">
        <f>VLOOKUP(InputData[[#This Row],[PRODUCT ID]],MasterData[],3,0)</f>
        <v>Category04</v>
      </c>
      <c r="I432" s="12" t="str">
        <f>VLOOKUP(InputData[[#This Row],[PRODUCT ID]],MasterData[],4,0)</f>
        <v>Lt</v>
      </c>
      <c r="J432" s="14">
        <f>VLOOKUP(InputData[[#This Row],[PRODUCT ID]],MasterData[],5,0)</f>
        <v>47</v>
      </c>
      <c r="K432" s="14">
        <f>VLOOKUP(InputData[[#This Row],[PRODUCT ID]],MasterData[],5,0)</f>
        <v>47</v>
      </c>
      <c r="L432" s="14">
        <f>InputData[[#This Row],[BUYING PRIZE]]*InputData[[#This Row],[QUANTITY]]</f>
        <v>658</v>
      </c>
      <c r="M432" s="14">
        <f>InputData[[#This Row],[SELLING PRICE]]*InputData[[#This Row],[QUANTITY]]*(1-InputData[[#This Row],[DISCOUNT %]])</f>
        <v>658</v>
      </c>
      <c r="N432" s="12">
        <f>DAY(InputData[[#This Row],[DATE]])</f>
        <v>23</v>
      </c>
      <c r="O432" s="12" t="str">
        <f>TEXT(InputData[[#This Row],[DATE]],"mmm")</f>
        <v>Aug</v>
      </c>
      <c r="P432" s="12">
        <f>YEAR(InputData[[#This Row],[DATE]])</f>
        <v>2022</v>
      </c>
      <c r="Q432" s="12"/>
    </row>
    <row r="433" spans="1:17" x14ac:dyDescent="0.3">
      <c r="A433" s="10">
        <v>44797</v>
      </c>
      <c r="B433" s="11" t="s">
        <v>16</v>
      </c>
      <c r="C433" s="12">
        <v>5</v>
      </c>
      <c r="D433" s="12" t="s">
        <v>108</v>
      </c>
      <c r="E433" s="12" t="s">
        <v>107</v>
      </c>
      <c r="F433" s="13">
        <v>0</v>
      </c>
      <c r="G433" s="12" t="str">
        <f>VLOOKUP(InputData[[#This Row],[PRODUCT ID]],MasterData[],2,0)</f>
        <v>Product05</v>
      </c>
      <c r="H433" s="12" t="str">
        <f>VLOOKUP(InputData[[#This Row],[PRODUCT ID]],MasterData[],3,0)</f>
        <v>Category01</v>
      </c>
      <c r="I433" s="12" t="str">
        <f>VLOOKUP(InputData[[#This Row],[PRODUCT ID]],MasterData[],4,0)</f>
        <v>Ft</v>
      </c>
      <c r="J433" s="14">
        <f>VLOOKUP(InputData[[#This Row],[PRODUCT ID]],MasterData[],5,0)</f>
        <v>133</v>
      </c>
      <c r="K433" s="14">
        <f>VLOOKUP(InputData[[#This Row],[PRODUCT ID]],MasterData[],5,0)</f>
        <v>133</v>
      </c>
      <c r="L433" s="14">
        <f>InputData[[#This Row],[BUYING PRIZE]]*InputData[[#This Row],[QUANTITY]]</f>
        <v>665</v>
      </c>
      <c r="M433" s="14">
        <f>InputData[[#This Row],[SELLING PRICE]]*InputData[[#This Row],[QUANTITY]]*(1-InputData[[#This Row],[DISCOUNT %]])</f>
        <v>665</v>
      </c>
      <c r="N433" s="12">
        <f>DAY(InputData[[#This Row],[DATE]])</f>
        <v>24</v>
      </c>
      <c r="O433" s="12" t="str">
        <f>TEXT(InputData[[#This Row],[DATE]],"mmm")</f>
        <v>Aug</v>
      </c>
      <c r="P433" s="12">
        <f>YEAR(InputData[[#This Row],[DATE]])</f>
        <v>2022</v>
      </c>
      <c r="Q433" s="12"/>
    </row>
    <row r="434" spans="1:17" x14ac:dyDescent="0.3">
      <c r="A434" s="10">
        <v>44799</v>
      </c>
      <c r="B434" s="11" t="s">
        <v>45</v>
      </c>
      <c r="C434" s="12">
        <v>13</v>
      </c>
      <c r="D434" s="12" t="s">
        <v>105</v>
      </c>
      <c r="E434" s="12" t="s">
        <v>107</v>
      </c>
      <c r="F434" s="13">
        <v>0</v>
      </c>
      <c r="G434" s="12" t="str">
        <f>VLOOKUP(InputData[[#This Row],[PRODUCT ID]],MasterData[],2,0)</f>
        <v>Product19</v>
      </c>
      <c r="H434" s="12" t="str">
        <f>VLOOKUP(InputData[[#This Row],[PRODUCT ID]],MasterData[],3,0)</f>
        <v>Category02</v>
      </c>
      <c r="I434" s="12" t="str">
        <f>VLOOKUP(InputData[[#This Row],[PRODUCT ID]],MasterData[],4,0)</f>
        <v>Ft</v>
      </c>
      <c r="J434" s="14">
        <f>VLOOKUP(InputData[[#This Row],[PRODUCT ID]],MasterData[],5,0)</f>
        <v>150</v>
      </c>
      <c r="K434" s="14">
        <f>VLOOKUP(InputData[[#This Row],[PRODUCT ID]],MasterData[],5,0)</f>
        <v>150</v>
      </c>
      <c r="L434" s="14">
        <f>InputData[[#This Row],[BUYING PRIZE]]*InputData[[#This Row],[QUANTITY]]</f>
        <v>1950</v>
      </c>
      <c r="M434" s="14">
        <f>InputData[[#This Row],[SELLING PRICE]]*InputData[[#This Row],[QUANTITY]]*(1-InputData[[#This Row],[DISCOUNT %]])</f>
        <v>1950</v>
      </c>
      <c r="N434" s="12">
        <f>DAY(InputData[[#This Row],[DATE]])</f>
        <v>26</v>
      </c>
      <c r="O434" s="12" t="str">
        <f>TEXT(InputData[[#This Row],[DATE]],"mmm")</f>
        <v>Aug</v>
      </c>
      <c r="P434" s="12">
        <f>YEAR(InputData[[#This Row],[DATE]])</f>
        <v>2022</v>
      </c>
      <c r="Q434" s="12"/>
    </row>
    <row r="435" spans="1:17" x14ac:dyDescent="0.3">
      <c r="A435" s="10">
        <v>44799</v>
      </c>
      <c r="B435" s="11" t="s">
        <v>83</v>
      </c>
      <c r="C435" s="12">
        <v>8</v>
      </c>
      <c r="D435" s="12" t="s">
        <v>106</v>
      </c>
      <c r="E435" s="12" t="s">
        <v>106</v>
      </c>
      <c r="F435" s="13">
        <v>0</v>
      </c>
      <c r="G435" s="12" t="str">
        <f>VLOOKUP(InputData[[#This Row],[PRODUCT ID]],MasterData[],2,0)</f>
        <v>Product37</v>
      </c>
      <c r="H435" s="12" t="str">
        <f>VLOOKUP(InputData[[#This Row],[PRODUCT ID]],MasterData[],3,0)</f>
        <v>Category05</v>
      </c>
      <c r="I435" s="12" t="str">
        <f>VLOOKUP(InputData[[#This Row],[PRODUCT ID]],MasterData[],4,0)</f>
        <v>Kg</v>
      </c>
      <c r="J435" s="14">
        <f>VLOOKUP(InputData[[#This Row],[PRODUCT ID]],MasterData[],5,0)</f>
        <v>67</v>
      </c>
      <c r="K435" s="14">
        <f>VLOOKUP(InputData[[#This Row],[PRODUCT ID]],MasterData[],5,0)</f>
        <v>67</v>
      </c>
      <c r="L435" s="14">
        <f>InputData[[#This Row],[BUYING PRIZE]]*InputData[[#This Row],[QUANTITY]]</f>
        <v>536</v>
      </c>
      <c r="M435" s="14">
        <f>InputData[[#This Row],[SELLING PRICE]]*InputData[[#This Row],[QUANTITY]]*(1-InputData[[#This Row],[DISCOUNT %]])</f>
        <v>536</v>
      </c>
      <c r="N435" s="12">
        <f>DAY(InputData[[#This Row],[DATE]])</f>
        <v>26</v>
      </c>
      <c r="O435" s="12" t="str">
        <f>TEXT(InputData[[#This Row],[DATE]],"mmm")</f>
        <v>Aug</v>
      </c>
      <c r="P435" s="12">
        <f>YEAR(InputData[[#This Row],[DATE]])</f>
        <v>2022</v>
      </c>
      <c r="Q435" s="12"/>
    </row>
    <row r="436" spans="1:17" x14ac:dyDescent="0.3">
      <c r="A436" s="10">
        <v>44800</v>
      </c>
      <c r="B436" s="11" t="s">
        <v>88</v>
      </c>
      <c r="C436" s="12">
        <v>15</v>
      </c>
      <c r="D436" s="12" t="s">
        <v>105</v>
      </c>
      <c r="E436" s="12" t="s">
        <v>106</v>
      </c>
      <c r="F436" s="13">
        <v>0</v>
      </c>
      <c r="G436" s="12" t="str">
        <f>VLOOKUP(InputData[[#This Row],[PRODUCT ID]],MasterData[],2,0)</f>
        <v>Product39</v>
      </c>
      <c r="H436" s="12" t="str">
        <f>VLOOKUP(InputData[[#This Row],[PRODUCT ID]],MasterData[],3,0)</f>
        <v>Category05</v>
      </c>
      <c r="I436" s="12" t="str">
        <f>VLOOKUP(InputData[[#This Row],[PRODUCT ID]],MasterData[],4,0)</f>
        <v>No.</v>
      </c>
      <c r="J436" s="14">
        <f>VLOOKUP(InputData[[#This Row],[PRODUCT ID]],MasterData[],5,0)</f>
        <v>37</v>
      </c>
      <c r="K436" s="14">
        <f>VLOOKUP(InputData[[#This Row],[PRODUCT ID]],MasterData[],5,0)</f>
        <v>37</v>
      </c>
      <c r="L436" s="14">
        <f>InputData[[#This Row],[BUYING PRIZE]]*InputData[[#This Row],[QUANTITY]]</f>
        <v>555</v>
      </c>
      <c r="M436" s="14">
        <f>InputData[[#This Row],[SELLING PRICE]]*InputData[[#This Row],[QUANTITY]]*(1-InputData[[#This Row],[DISCOUNT %]])</f>
        <v>555</v>
      </c>
      <c r="N436" s="12">
        <f>DAY(InputData[[#This Row],[DATE]])</f>
        <v>27</v>
      </c>
      <c r="O436" s="12" t="str">
        <f>TEXT(InputData[[#This Row],[DATE]],"mmm")</f>
        <v>Aug</v>
      </c>
      <c r="P436" s="12">
        <f>YEAR(InputData[[#This Row],[DATE]])</f>
        <v>2022</v>
      </c>
      <c r="Q436" s="12"/>
    </row>
    <row r="437" spans="1:17" x14ac:dyDescent="0.3">
      <c r="A437" s="10">
        <v>44801</v>
      </c>
      <c r="B437" s="11" t="s">
        <v>16</v>
      </c>
      <c r="C437" s="12">
        <v>9</v>
      </c>
      <c r="D437" s="12" t="s">
        <v>106</v>
      </c>
      <c r="E437" s="12" t="s">
        <v>106</v>
      </c>
      <c r="F437" s="13">
        <v>0</v>
      </c>
      <c r="G437" s="12" t="str">
        <f>VLOOKUP(InputData[[#This Row],[PRODUCT ID]],MasterData[],2,0)</f>
        <v>Product05</v>
      </c>
      <c r="H437" s="12" t="str">
        <f>VLOOKUP(InputData[[#This Row],[PRODUCT ID]],MasterData[],3,0)</f>
        <v>Category01</v>
      </c>
      <c r="I437" s="12" t="str">
        <f>VLOOKUP(InputData[[#This Row],[PRODUCT ID]],MasterData[],4,0)</f>
        <v>Ft</v>
      </c>
      <c r="J437" s="14">
        <f>VLOOKUP(InputData[[#This Row],[PRODUCT ID]],MasterData[],5,0)</f>
        <v>133</v>
      </c>
      <c r="K437" s="14">
        <f>VLOOKUP(InputData[[#This Row],[PRODUCT ID]],MasterData[],5,0)</f>
        <v>133</v>
      </c>
      <c r="L437" s="14">
        <f>InputData[[#This Row],[BUYING PRIZE]]*InputData[[#This Row],[QUANTITY]]</f>
        <v>1197</v>
      </c>
      <c r="M437" s="14">
        <f>InputData[[#This Row],[SELLING PRICE]]*InputData[[#This Row],[QUANTITY]]*(1-InputData[[#This Row],[DISCOUNT %]])</f>
        <v>1197</v>
      </c>
      <c r="N437" s="12">
        <f>DAY(InputData[[#This Row],[DATE]])</f>
        <v>28</v>
      </c>
      <c r="O437" s="12" t="str">
        <f>TEXT(InputData[[#This Row],[DATE]],"mmm")</f>
        <v>Aug</v>
      </c>
      <c r="P437" s="12">
        <f>YEAR(InputData[[#This Row],[DATE]])</f>
        <v>2022</v>
      </c>
      <c r="Q437" s="12"/>
    </row>
    <row r="438" spans="1:17" x14ac:dyDescent="0.3">
      <c r="A438" s="10">
        <v>44801</v>
      </c>
      <c r="B438" s="11" t="s">
        <v>88</v>
      </c>
      <c r="C438" s="12">
        <v>5</v>
      </c>
      <c r="D438" s="12" t="s">
        <v>108</v>
      </c>
      <c r="E438" s="12" t="s">
        <v>106</v>
      </c>
      <c r="F438" s="13">
        <v>0</v>
      </c>
      <c r="G438" s="12" t="str">
        <f>VLOOKUP(InputData[[#This Row],[PRODUCT ID]],MasterData[],2,0)</f>
        <v>Product39</v>
      </c>
      <c r="H438" s="12" t="str">
        <f>VLOOKUP(InputData[[#This Row],[PRODUCT ID]],MasterData[],3,0)</f>
        <v>Category05</v>
      </c>
      <c r="I438" s="12" t="str">
        <f>VLOOKUP(InputData[[#This Row],[PRODUCT ID]],MasterData[],4,0)</f>
        <v>No.</v>
      </c>
      <c r="J438" s="14">
        <f>VLOOKUP(InputData[[#This Row],[PRODUCT ID]],MasterData[],5,0)</f>
        <v>37</v>
      </c>
      <c r="K438" s="14">
        <f>VLOOKUP(InputData[[#This Row],[PRODUCT ID]],MasterData[],5,0)</f>
        <v>37</v>
      </c>
      <c r="L438" s="14">
        <f>InputData[[#This Row],[BUYING PRIZE]]*InputData[[#This Row],[QUANTITY]]</f>
        <v>185</v>
      </c>
      <c r="M438" s="14">
        <f>InputData[[#This Row],[SELLING PRICE]]*InputData[[#This Row],[QUANTITY]]*(1-InputData[[#This Row],[DISCOUNT %]])</f>
        <v>185</v>
      </c>
      <c r="N438" s="12">
        <f>DAY(InputData[[#This Row],[DATE]])</f>
        <v>28</v>
      </c>
      <c r="O438" s="12" t="str">
        <f>TEXT(InputData[[#This Row],[DATE]],"mmm")</f>
        <v>Aug</v>
      </c>
      <c r="P438" s="12">
        <f>YEAR(InputData[[#This Row],[DATE]])</f>
        <v>2022</v>
      </c>
      <c r="Q438" s="12"/>
    </row>
    <row r="439" spans="1:17" x14ac:dyDescent="0.3">
      <c r="A439" s="10">
        <v>44803</v>
      </c>
      <c r="B439" s="11" t="s">
        <v>18</v>
      </c>
      <c r="C439" s="12">
        <v>6</v>
      </c>
      <c r="D439" s="12" t="s">
        <v>106</v>
      </c>
      <c r="E439" s="12" t="s">
        <v>107</v>
      </c>
      <c r="F439" s="13">
        <v>0</v>
      </c>
      <c r="G439" s="12" t="str">
        <f>VLOOKUP(InputData[[#This Row],[PRODUCT ID]],MasterData[],2,0)</f>
        <v>Product06</v>
      </c>
      <c r="H439" s="12" t="str">
        <f>VLOOKUP(InputData[[#This Row],[PRODUCT ID]],MasterData[],3,0)</f>
        <v>Category01</v>
      </c>
      <c r="I439" s="12" t="str">
        <f>VLOOKUP(InputData[[#This Row],[PRODUCT ID]],MasterData[],4,0)</f>
        <v>Kg</v>
      </c>
      <c r="J439" s="14">
        <f>VLOOKUP(InputData[[#This Row],[PRODUCT ID]],MasterData[],5,0)</f>
        <v>75</v>
      </c>
      <c r="K439" s="14">
        <f>VLOOKUP(InputData[[#This Row],[PRODUCT ID]],MasterData[],5,0)</f>
        <v>75</v>
      </c>
      <c r="L439" s="14">
        <f>InputData[[#This Row],[BUYING PRIZE]]*InputData[[#This Row],[QUANTITY]]</f>
        <v>450</v>
      </c>
      <c r="M439" s="14">
        <f>InputData[[#This Row],[SELLING PRICE]]*InputData[[#This Row],[QUANTITY]]*(1-InputData[[#This Row],[DISCOUNT %]])</f>
        <v>450</v>
      </c>
      <c r="N439" s="12">
        <f>DAY(InputData[[#This Row],[DATE]])</f>
        <v>30</v>
      </c>
      <c r="O439" s="12" t="str">
        <f>TEXT(InputData[[#This Row],[DATE]],"mmm")</f>
        <v>Aug</v>
      </c>
      <c r="P439" s="12">
        <f>YEAR(InputData[[#This Row],[DATE]])</f>
        <v>2022</v>
      </c>
      <c r="Q439" s="12"/>
    </row>
    <row r="440" spans="1:17" x14ac:dyDescent="0.3">
      <c r="A440" s="10">
        <v>44803</v>
      </c>
      <c r="B440" s="11" t="s">
        <v>96</v>
      </c>
      <c r="C440" s="12">
        <v>6</v>
      </c>
      <c r="D440" s="12" t="s">
        <v>108</v>
      </c>
      <c r="E440" s="12" t="s">
        <v>107</v>
      </c>
      <c r="F440" s="13">
        <v>0</v>
      </c>
      <c r="G440" s="12" t="str">
        <f>VLOOKUP(InputData[[#This Row],[PRODUCT ID]],MasterData[],2,0)</f>
        <v>Product43</v>
      </c>
      <c r="H440" s="12" t="str">
        <f>VLOOKUP(InputData[[#This Row],[PRODUCT ID]],MasterData[],3,0)</f>
        <v>Category05</v>
      </c>
      <c r="I440" s="12" t="str">
        <f>VLOOKUP(InputData[[#This Row],[PRODUCT ID]],MasterData[],4,0)</f>
        <v>Kg</v>
      </c>
      <c r="J440" s="14">
        <f>VLOOKUP(InputData[[#This Row],[PRODUCT ID]],MasterData[],5,0)</f>
        <v>67</v>
      </c>
      <c r="K440" s="14">
        <f>VLOOKUP(InputData[[#This Row],[PRODUCT ID]],MasterData[],5,0)</f>
        <v>67</v>
      </c>
      <c r="L440" s="14">
        <f>InputData[[#This Row],[BUYING PRIZE]]*InputData[[#This Row],[QUANTITY]]</f>
        <v>402</v>
      </c>
      <c r="M440" s="14">
        <f>InputData[[#This Row],[SELLING PRICE]]*InputData[[#This Row],[QUANTITY]]*(1-InputData[[#This Row],[DISCOUNT %]])</f>
        <v>402</v>
      </c>
      <c r="N440" s="12">
        <f>DAY(InputData[[#This Row],[DATE]])</f>
        <v>30</v>
      </c>
      <c r="O440" s="12" t="str">
        <f>TEXT(InputData[[#This Row],[DATE]],"mmm")</f>
        <v>Aug</v>
      </c>
      <c r="P440" s="12">
        <f>YEAR(InputData[[#This Row],[DATE]])</f>
        <v>2022</v>
      </c>
      <c r="Q440" s="12"/>
    </row>
    <row r="441" spans="1:17" x14ac:dyDescent="0.3">
      <c r="A441" s="10">
        <v>44803</v>
      </c>
      <c r="B441" s="11" t="s">
        <v>58</v>
      </c>
      <c r="C441" s="12">
        <v>5</v>
      </c>
      <c r="D441" s="12" t="s">
        <v>108</v>
      </c>
      <c r="E441" s="12" t="s">
        <v>107</v>
      </c>
      <c r="F441" s="13">
        <v>0</v>
      </c>
      <c r="G441" s="12" t="str">
        <f>VLOOKUP(InputData[[#This Row],[PRODUCT ID]],MasterData[],2,0)</f>
        <v>Product25</v>
      </c>
      <c r="H441" s="12" t="str">
        <f>VLOOKUP(InputData[[#This Row],[PRODUCT ID]],MasterData[],3,0)</f>
        <v>Category03</v>
      </c>
      <c r="I441" s="12" t="str">
        <f>VLOOKUP(InputData[[#This Row],[PRODUCT ID]],MasterData[],4,0)</f>
        <v>No.</v>
      </c>
      <c r="J441" s="14">
        <f>VLOOKUP(InputData[[#This Row],[PRODUCT ID]],MasterData[],5,0)</f>
        <v>7</v>
      </c>
      <c r="K441" s="14">
        <f>VLOOKUP(InputData[[#This Row],[PRODUCT ID]],MasterData[],5,0)</f>
        <v>7</v>
      </c>
      <c r="L441" s="14">
        <f>InputData[[#This Row],[BUYING PRIZE]]*InputData[[#This Row],[QUANTITY]]</f>
        <v>35</v>
      </c>
      <c r="M441" s="14">
        <f>InputData[[#This Row],[SELLING PRICE]]*InputData[[#This Row],[QUANTITY]]*(1-InputData[[#This Row],[DISCOUNT %]])</f>
        <v>35</v>
      </c>
      <c r="N441" s="12">
        <f>DAY(InputData[[#This Row],[DATE]])</f>
        <v>30</v>
      </c>
      <c r="O441" s="12" t="str">
        <f>TEXT(InputData[[#This Row],[DATE]],"mmm")</f>
        <v>Aug</v>
      </c>
      <c r="P441" s="12">
        <f>YEAR(InputData[[#This Row],[DATE]])</f>
        <v>2022</v>
      </c>
      <c r="Q441" s="12"/>
    </row>
    <row r="442" spans="1:17" x14ac:dyDescent="0.3">
      <c r="A442" s="10">
        <v>44804</v>
      </c>
      <c r="B442" s="11" t="s">
        <v>37</v>
      </c>
      <c r="C442" s="12">
        <v>13</v>
      </c>
      <c r="D442" s="12" t="s">
        <v>108</v>
      </c>
      <c r="E442" s="12" t="s">
        <v>107</v>
      </c>
      <c r="F442" s="13">
        <v>0</v>
      </c>
      <c r="G442" s="12" t="str">
        <f>VLOOKUP(InputData[[#This Row],[PRODUCT ID]],MasterData[],2,0)</f>
        <v>Product15</v>
      </c>
      <c r="H442" s="12" t="str">
        <f>VLOOKUP(InputData[[#This Row],[PRODUCT ID]],MasterData[],3,0)</f>
        <v>Category02</v>
      </c>
      <c r="I442" s="12" t="str">
        <f>VLOOKUP(InputData[[#This Row],[PRODUCT ID]],MasterData[],4,0)</f>
        <v>No.</v>
      </c>
      <c r="J442" s="14">
        <f>VLOOKUP(InputData[[#This Row],[PRODUCT ID]],MasterData[],5,0)</f>
        <v>12</v>
      </c>
      <c r="K442" s="14">
        <f>VLOOKUP(InputData[[#This Row],[PRODUCT ID]],MasterData[],5,0)</f>
        <v>12</v>
      </c>
      <c r="L442" s="14">
        <f>InputData[[#This Row],[BUYING PRIZE]]*InputData[[#This Row],[QUANTITY]]</f>
        <v>156</v>
      </c>
      <c r="M442" s="14">
        <f>InputData[[#This Row],[SELLING PRICE]]*InputData[[#This Row],[QUANTITY]]*(1-InputData[[#This Row],[DISCOUNT %]])</f>
        <v>156</v>
      </c>
      <c r="N442" s="12">
        <f>DAY(InputData[[#This Row],[DATE]])</f>
        <v>31</v>
      </c>
      <c r="O442" s="12" t="str">
        <f>TEXT(InputData[[#This Row],[DATE]],"mmm")</f>
        <v>Aug</v>
      </c>
      <c r="P442" s="12">
        <f>YEAR(InputData[[#This Row],[DATE]])</f>
        <v>2022</v>
      </c>
      <c r="Q442" s="12"/>
    </row>
    <row r="443" spans="1:17" x14ac:dyDescent="0.3">
      <c r="A443" s="10">
        <v>44808</v>
      </c>
      <c r="B443" s="11" t="s">
        <v>10</v>
      </c>
      <c r="C443" s="12">
        <v>1</v>
      </c>
      <c r="D443" s="12" t="s">
        <v>108</v>
      </c>
      <c r="E443" s="12" t="s">
        <v>107</v>
      </c>
      <c r="F443" s="13">
        <v>0</v>
      </c>
      <c r="G443" s="12" t="str">
        <f>VLOOKUP(InputData[[#This Row],[PRODUCT ID]],MasterData[],2,0)</f>
        <v>Product02</v>
      </c>
      <c r="H443" s="12" t="str">
        <f>VLOOKUP(InputData[[#This Row],[PRODUCT ID]],MasterData[],3,0)</f>
        <v>Category01</v>
      </c>
      <c r="I443" s="12" t="str">
        <f>VLOOKUP(InputData[[#This Row],[PRODUCT ID]],MasterData[],4,0)</f>
        <v>Kg</v>
      </c>
      <c r="J443" s="14">
        <f>VLOOKUP(InputData[[#This Row],[PRODUCT ID]],MasterData[],5,0)</f>
        <v>105</v>
      </c>
      <c r="K443" s="14">
        <f>VLOOKUP(InputData[[#This Row],[PRODUCT ID]],MasterData[],5,0)</f>
        <v>105</v>
      </c>
      <c r="L443" s="14">
        <f>InputData[[#This Row],[BUYING PRIZE]]*InputData[[#This Row],[QUANTITY]]</f>
        <v>105</v>
      </c>
      <c r="M443" s="14">
        <f>InputData[[#This Row],[SELLING PRICE]]*InputData[[#This Row],[QUANTITY]]*(1-InputData[[#This Row],[DISCOUNT %]])</f>
        <v>105</v>
      </c>
      <c r="N443" s="12">
        <f>DAY(InputData[[#This Row],[DATE]])</f>
        <v>4</v>
      </c>
      <c r="O443" s="12" t="str">
        <f>TEXT(InputData[[#This Row],[DATE]],"mmm")</f>
        <v>Sep</v>
      </c>
      <c r="P443" s="12">
        <f>YEAR(InputData[[#This Row],[DATE]])</f>
        <v>2022</v>
      </c>
      <c r="Q443" s="12"/>
    </row>
    <row r="444" spans="1:17" x14ac:dyDescent="0.3">
      <c r="A444" s="10">
        <v>44810</v>
      </c>
      <c r="B444" s="11" t="s">
        <v>16</v>
      </c>
      <c r="C444" s="12">
        <v>12</v>
      </c>
      <c r="D444" s="12" t="s">
        <v>105</v>
      </c>
      <c r="E444" s="12" t="s">
        <v>106</v>
      </c>
      <c r="F444" s="13">
        <v>0</v>
      </c>
      <c r="G444" s="12" t="str">
        <f>VLOOKUP(InputData[[#This Row],[PRODUCT ID]],MasterData[],2,0)</f>
        <v>Product05</v>
      </c>
      <c r="H444" s="12" t="str">
        <f>VLOOKUP(InputData[[#This Row],[PRODUCT ID]],MasterData[],3,0)</f>
        <v>Category01</v>
      </c>
      <c r="I444" s="12" t="str">
        <f>VLOOKUP(InputData[[#This Row],[PRODUCT ID]],MasterData[],4,0)</f>
        <v>Ft</v>
      </c>
      <c r="J444" s="14">
        <f>VLOOKUP(InputData[[#This Row],[PRODUCT ID]],MasterData[],5,0)</f>
        <v>133</v>
      </c>
      <c r="K444" s="14">
        <f>VLOOKUP(InputData[[#This Row],[PRODUCT ID]],MasterData[],5,0)</f>
        <v>133</v>
      </c>
      <c r="L444" s="14">
        <f>InputData[[#This Row],[BUYING PRIZE]]*InputData[[#This Row],[QUANTITY]]</f>
        <v>1596</v>
      </c>
      <c r="M444" s="14">
        <f>InputData[[#This Row],[SELLING PRICE]]*InputData[[#This Row],[QUANTITY]]*(1-InputData[[#This Row],[DISCOUNT %]])</f>
        <v>1596</v>
      </c>
      <c r="N444" s="12">
        <f>DAY(InputData[[#This Row],[DATE]])</f>
        <v>6</v>
      </c>
      <c r="O444" s="12" t="str">
        <f>TEXT(InputData[[#This Row],[DATE]],"mmm")</f>
        <v>Sep</v>
      </c>
      <c r="P444" s="12">
        <f>YEAR(InputData[[#This Row],[DATE]])</f>
        <v>2022</v>
      </c>
      <c r="Q444" s="12"/>
    </row>
    <row r="445" spans="1:17" x14ac:dyDescent="0.3">
      <c r="A445" s="10">
        <v>44813</v>
      </c>
      <c r="B445" s="11" t="s">
        <v>92</v>
      </c>
      <c r="C445" s="12">
        <v>9</v>
      </c>
      <c r="D445" s="12" t="s">
        <v>108</v>
      </c>
      <c r="E445" s="12" t="s">
        <v>106</v>
      </c>
      <c r="F445" s="13">
        <v>0</v>
      </c>
      <c r="G445" s="12" t="str">
        <f>VLOOKUP(InputData[[#This Row],[PRODUCT ID]],MasterData[],2,0)</f>
        <v>Product41</v>
      </c>
      <c r="H445" s="12" t="str">
        <f>VLOOKUP(InputData[[#This Row],[PRODUCT ID]],MasterData[],3,0)</f>
        <v>Category05</v>
      </c>
      <c r="I445" s="12" t="str">
        <f>VLOOKUP(InputData[[#This Row],[PRODUCT ID]],MasterData[],4,0)</f>
        <v>Ft</v>
      </c>
      <c r="J445" s="14">
        <f>VLOOKUP(InputData[[#This Row],[PRODUCT ID]],MasterData[],5,0)</f>
        <v>138</v>
      </c>
      <c r="K445" s="14">
        <f>VLOOKUP(InputData[[#This Row],[PRODUCT ID]],MasterData[],5,0)</f>
        <v>138</v>
      </c>
      <c r="L445" s="14">
        <f>InputData[[#This Row],[BUYING PRIZE]]*InputData[[#This Row],[QUANTITY]]</f>
        <v>1242</v>
      </c>
      <c r="M445" s="14">
        <f>InputData[[#This Row],[SELLING PRICE]]*InputData[[#This Row],[QUANTITY]]*(1-InputData[[#This Row],[DISCOUNT %]])</f>
        <v>1242</v>
      </c>
      <c r="N445" s="12">
        <f>DAY(InputData[[#This Row],[DATE]])</f>
        <v>9</v>
      </c>
      <c r="O445" s="12" t="str">
        <f>TEXT(InputData[[#This Row],[DATE]],"mmm")</f>
        <v>Sep</v>
      </c>
      <c r="P445" s="12">
        <f>YEAR(InputData[[#This Row],[DATE]])</f>
        <v>2022</v>
      </c>
      <c r="Q445" s="12"/>
    </row>
    <row r="446" spans="1:17" x14ac:dyDescent="0.3">
      <c r="A446" s="10">
        <v>44813</v>
      </c>
      <c r="B446" s="11" t="s">
        <v>12</v>
      </c>
      <c r="C446" s="12">
        <v>3</v>
      </c>
      <c r="D446" s="12" t="s">
        <v>108</v>
      </c>
      <c r="E446" s="12" t="s">
        <v>106</v>
      </c>
      <c r="F446" s="13">
        <v>0</v>
      </c>
      <c r="G446" s="12" t="str">
        <f>VLOOKUP(InputData[[#This Row],[PRODUCT ID]],MasterData[],2,0)</f>
        <v>Product03</v>
      </c>
      <c r="H446" s="12" t="str">
        <f>VLOOKUP(InputData[[#This Row],[PRODUCT ID]],MasterData[],3,0)</f>
        <v>Category01</v>
      </c>
      <c r="I446" s="12" t="str">
        <f>VLOOKUP(InputData[[#This Row],[PRODUCT ID]],MasterData[],4,0)</f>
        <v>Kg</v>
      </c>
      <c r="J446" s="14">
        <f>VLOOKUP(InputData[[#This Row],[PRODUCT ID]],MasterData[],5,0)</f>
        <v>71</v>
      </c>
      <c r="K446" s="14">
        <f>VLOOKUP(InputData[[#This Row],[PRODUCT ID]],MasterData[],5,0)</f>
        <v>71</v>
      </c>
      <c r="L446" s="14">
        <f>InputData[[#This Row],[BUYING PRIZE]]*InputData[[#This Row],[QUANTITY]]</f>
        <v>213</v>
      </c>
      <c r="M446" s="14">
        <f>InputData[[#This Row],[SELLING PRICE]]*InputData[[#This Row],[QUANTITY]]*(1-InputData[[#This Row],[DISCOUNT %]])</f>
        <v>213</v>
      </c>
      <c r="N446" s="12">
        <f>DAY(InputData[[#This Row],[DATE]])</f>
        <v>9</v>
      </c>
      <c r="O446" s="12" t="str">
        <f>TEXT(InputData[[#This Row],[DATE]],"mmm")</f>
        <v>Sep</v>
      </c>
      <c r="P446" s="12">
        <f>YEAR(InputData[[#This Row],[DATE]])</f>
        <v>2022</v>
      </c>
      <c r="Q446" s="12"/>
    </row>
    <row r="447" spans="1:17" x14ac:dyDescent="0.3">
      <c r="A447" s="10">
        <v>44814</v>
      </c>
      <c r="B447" s="11" t="s">
        <v>79</v>
      </c>
      <c r="C447" s="12">
        <v>15</v>
      </c>
      <c r="D447" s="12" t="s">
        <v>106</v>
      </c>
      <c r="E447" s="12" t="s">
        <v>107</v>
      </c>
      <c r="F447" s="13">
        <v>0</v>
      </c>
      <c r="G447" s="12" t="str">
        <f>VLOOKUP(InputData[[#This Row],[PRODUCT ID]],MasterData[],2,0)</f>
        <v>Product35</v>
      </c>
      <c r="H447" s="12" t="str">
        <f>VLOOKUP(InputData[[#This Row],[PRODUCT ID]],MasterData[],3,0)</f>
        <v>Category04</v>
      </c>
      <c r="I447" s="12" t="str">
        <f>VLOOKUP(InputData[[#This Row],[PRODUCT ID]],MasterData[],4,0)</f>
        <v>No.</v>
      </c>
      <c r="J447" s="14">
        <f>VLOOKUP(InputData[[#This Row],[PRODUCT ID]],MasterData[],5,0)</f>
        <v>5</v>
      </c>
      <c r="K447" s="14">
        <f>VLOOKUP(InputData[[#This Row],[PRODUCT ID]],MasterData[],5,0)</f>
        <v>5</v>
      </c>
      <c r="L447" s="14">
        <f>InputData[[#This Row],[BUYING PRIZE]]*InputData[[#This Row],[QUANTITY]]</f>
        <v>75</v>
      </c>
      <c r="M447" s="14">
        <f>InputData[[#This Row],[SELLING PRICE]]*InputData[[#This Row],[QUANTITY]]*(1-InputData[[#This Row],[DISCOUNT %]])</f>
        <v>75</v>
      </c>
      <c r="N447" s="12">
        <f>DAY(InputData[[#This Row],[DATE]])</f>
        <v>10</v>
      </c>
      <c r="O447" s="12" t="str">
        <f>TEXT(InputData[[#This Row],[DATE]],"mmm")</f>
        <v>Sep</v>
      </c>
      <c r="P447" s="12">
        <f>YEAR(InputData[[#This Row],[DATE]])</f>
        <v>2022</v>
      </c>
      <c r="Q447" s="12"/>
    </row>
    <row r="448" spans="1:17" x14ac:dyDescent="0.3">
      <c r="A448" s="10">
        <v>44814</v>
      </c>
      <c r="B448" s="11" t="s">
        <v>86</v>
      </c>
      <c r="C448" s="12">
        <v>4</v>
      </c>
      <c r="D448" s="12" t="s">
        <v>108</v>
      </c>
      <c r="E448" s="12" t="s">
        <v>107</v>
      </c>
      <c r="F448" s="13">
        <v>0</v>
      </c>
      <c r="G448" s="12" t="str">
        <f>VLOOKUP(InputData[[#This Row],[PRODUCT ID]],MasterData[],2,0)</f>
        <v>Product38</v>
      </c>
      <c r="H448" s="12" t="str">
        <f>VLOOKUP(InputData[[#This Row],[PRODUCT ID]],MasterData[],3,0)</f>
        <v>Category05</v>
      </c>
      <c r="I448" s="12" t="str">
        <f>VLOOKUP(InputData[[#This Row],[PRODUCT ID]],MasterData[],4,0)</f>
        <v>Kg</v>
      </c>
      <c r="J448" s="14">
        <f>VLOOKUP(InputData[[#This Row],[PRODUCT ID]],MasterData[],5,0)</f>
        <v>72</v>
      </c>
      <c r="K448" s="14">
        <f>VLOOKUP(InputData[[#This Row],[PRODUCT ID]],MasterData[],5,0)</f>
        <v>72</v>
      </c>
      <c r="L448" s="14">
        <f>InputData[[#This Row],[BUYING PRIZE]]*InputData[[#This Row],[QUANTITY]]</f>
        <v>288</v>
      </c>
      <c r="M448" s="14">
        <f>InputData[[#This Row],[SELLING PRICE]]*InputData[[#This Row],[QUANTITY]]*(1-InputData[[#This Row],[DISCOUNT %]])</f>
        <v>288</v>
      </c>
      <c r="N448" s="12">
        <f>DAY(InputData[[#This Row],[DATE]])</f>
        <v>10</v>
      </c>
      <c r="O448" s="12" t="str">
        <f>TEXT(InputData[[#This Row],[DATE]],"mmm")</f>
        <v>Sep</v>
      </c>
      <c r="P448" s="12">
        <f>YEAR(InputData[[#This Row],[DATE]])</f>
        <v>2022</v>
      </c>
      <c r="Q448" s="12"/>
    </row>
    <row r="449" spans="1:17" x14ac:dyDescent="0.3">
      <c r="A449" s="10">
        <v>44818</v>
      </c>
      <c r="B449" s="11" t="s">
        <v>67</v>
      </c>
      <c r="C449" s="12">
        <v>3</v>
      </c>
      <c r="D449" s="12" t="s">
        <v>108</v>
      </c>
      <c r="E449" s="12" t="s">
        <v>107</v>
      </c>
      <c r="F449" s="13">
        <v>0</v>
      </c>
      <c r="G449" s="12" t="str">
        <f>VLOOKUP(InputData[[#This Row],[PRODUCT ID]],MasterData[],2,0)</f>
        <v>Product29</v>
      </c>
      <c r="H449" s="12" t="str">
        <f>VLOOKUP(InputData[[#This Row],[PRODUCT ID]],MasterData[],3,0)</f>
        <v>Category04</v>
      </c>
      <c r="I449" s="12" t="str">
        <f>VLOOKUP(InputData[[#This Row],[PRODUCT ID]],MasterData[],4,0)</f>
        <v>Lt</v>
      </c>
      <c r="J449" s="14">
        <f>VLOOKUP(InputData[[#This Row],[PRODUCT ID]],MasterData[],5,0)</f>
        <v>47</v>
      </c>
      <c r="K449" s="14">
        <f>VLOOKUP(InputData[[#This Row],[PRODUCT ID]],MasterData[],5,0)</f>
        <v>47</v>
      </c>
      <c r="L449" s="14">
        <f>InputData[[#This Row],[BUYING PRIZE]]*InputData[[#This Row],[QUANTITY]]</f>
        <v>141</v>
      </c>
      <c r="M449" s="14">
        <f>InputData[[#This Row],[SELLING PRICE]]*InputData[[#This Row],[QUANTITY]]*(1-InputData[[#This Row],[DISCOUNT %]])</f>
        <v>141</v>
      </c>
      <c r="N449" s="12">
        <f>DAY(InputData[[#This Row],[DATE]])</f>
        <v>14</v>
      </c>
      <c r="O449" s="12" t="str">
        <f>TEXT(InputData[[#This Row],[DATE]],"mmm")</f>
        <v>Sep</v>
      </c>
      <c r="P449" s="12">
        <f>YEAR(InputData[[#This Row],[DATE]])</f>
        <v>2022</v>
      </c>
      <c r="Q449" s="12"/>
    </row>
    <row r="450" spans="1:17" x14ac:dyDescent="0.3">
      <c r="A450" s="10">
        <v>44819</v>
      </c>
      <c r="B450" s="11" t="s">
        <v>83</v>
      </c>
      <c r="C450" s="12">
        <v>15</v>
      </c>
      <c r="D450" s="12" t="s">
        <v>106</v>
      </c>
      <c r="E450" s="12" t="s">
        <v>106</v>
      </c>
      <c r="F450" s="13">
        <v>0</v>
      </c>
      <c r="G450" s="12" t="str">
        <f>VLOOKUP(InputData[[#This Row],[PRODUCT ID]],MasterData[],2,0)</f>
        <v>Product37</v>
      </c>
      <c r="H450" s="12" t="str">
        <f>VLOOKUP(InputData[[#This Row],[PRODUCT ID]],MasterData[],3,0)</f>
        <v>Category05</v>
      </c>
      <c r="I450" s="12" t="str">
        <f>VLOOKUP(InputData[[#This Row],[PRODUCT ID]],MasterData[],4,0)</f>
        <v>Kg</v>
      </c>
      <c r="J450" s="14">
        <f>VLOOKUP(InputData[[#This Row],[PRODUCT ID]],MasterData[],5,0)</f>
        <v>67</v>
      </c>
      <c r="K450" s="14">
        <f>VLOOKUP(InputData[[#This Row],[PRODUCT ID]],MasterData[],5,0)</f>
        <v>67</v>
      </c>
      <c r="L450" s="14">
        <f>InputData[[#This Row],[BUYING PRIZE]]*InputData[[#This Row],[QUANTITY]]</f>
        <v>1005</v>
      </c>
      <c r="M450" s="14">
        <f>InputData[[#This Row],[SELLING PRICE]]*InputData[[#This Row],[QUANTITY]]*(1-InputData[[#This Row],[DISCOUNT %]])</f>
        <v>1005</v>
      </c>
      <c r="N450" s="12">
        <f>DAY(InputData[[#This Row],[DATE]])</f>
        <v>15</v>
      </c>
      <c r="O450" s="12" t="str">
        <f>TEXT(InputData[[#This Row],[DATE]],"mmm")</f>
        <v>Sep</v>
      </c>
      <c r="P450" s="12">
        <f>YEAR(InputData[[#This Row],[DATE]])</f>
        <v>2022</v>
      </c>
      <c r="Q450" s="12"/>
    </row>
    <row r="451" spans="1:17" x14ac:dyDescent="0.3">
      <c r="A451" s="10">
        <v>44822</v>
      </c>
      <c r="B451" s="11" t="s">
        <v>60</v>
      </c>
      <c r="C451" s="12">
        <v>14</v>
      </c>
      <c r="D451" s="12" t="s">
        <v>106</v>
      </c>
      <c r="E451" s="12" t="s">
        <v>107</v>
      </c>
      <c r="F451" s="13">
        <v>0</v>
      </c>
      <c r="G451" s="12" t="str">
        <f>VLOOKUP(InputData[[#This Row],[PRODUCT ID]],MasterData[],2,0)</f>
        <v>Product26</v>
      </c>
      <c r="H451" s="12" t="str">
        <f>VLOOKUP(InputData[[#This Row],[PRODUCT ID]],MasterData[],3,0)</f>
        <v>Category04</v>
      </c>
      <c r="I451" s="12" t="str">
        <f>VLOOKUP(InputData[[#This Row],[PRODUCT ID]],MasterData[],4,0)</f>
        <v>No.</v>
      </c>
      <c r="J451" s="14">
        <f>VLOOKUP(InputData[[#This Row],[PRODUCT ID]],MasterData[],5,0)</f>
        <v>18</v>
      </c>
      <c r="K451" s="14">
        <f>VLOOKUP(InputData[[#This Row],[PRODUCT ID]],MasterData[],5,0)</f>
        <v>18</v>
      </c>
      <c r="L451" s="14">
        <f>InputData[[#This Row],[BUYING PRIZE]]*InputData[[#This Row],[QUANTITY]]</f>
        <v>252</v>
      </c>
      <c r="M451" s="14">
        <f>InputData[[#This Row],[SELLING PRICE]]*InputData[[#This Row],[QUANTITY]]*(1-InputData[[#This Row],[DISCOUNT %]])</f>
        <v>252</v>
      </c>
      <c r="N451" s="12">
        <f>DAY(InputData[[#This Row],[DATE]])</f>
        <v>18</v>
      </c>
      <c r="O451" s="12" t="str">
        <f>TEXT(InputData[[#This Row],[DATE]],"mmm")</f>
        <v>Sep</v>
      </c>
      <c r="P451" s="12">
        <f>YEAR(InputData[[#This Row],[DATE]])</f>
        <v>2022</v>
      </c>
      <c r="Q451" s="12"/>
    </row>
    <row r="452" spans="1:17" x14ac:dyDescent="0.3">
      <c r="A452" s="10">
        <v>44823</v>
      </c>
      <c r="B452" s="11" t="s">
        <v>75</v>
      </c>
      <c r="C452" s="12">
        <v>8</v>
      </c>
      <c r="D452" s="12" t="s">
        <v>105</v>
      </c>
      <c r="E452" s="12" t="s">
        <v>107</v>
      </c>
      <c r="F452" s="13">
        <v>0</v>
      </c>
      <c r="G452" s="12" t="str">
        <f>VLOOKUP(InputData[[#This Row],[PRODUCT ID]],MasterData[],2,0)</f>
        <v>Product33</v>
      </c>
      <c r="H452" s="12" t="str">
        <f>VLOOKUP(InputData[[#This Row],[PRODUCT ID]],MasterData[],3,0)</f>
        <v>Category04</v>
      </c>
      <c r="I452" s="12" t="str">
        <f>VLOOKUP(InputData[[#This Row],[PRODUCT ID]],MasterData[],4,0)</f>
        <v>Kg</v>
      </c>
      <c r="J452" s="14">
        <f>VLOOKUP(InputData[[#This Row],[PRODUCT ID]],MasterData[],5,0)</f>
        <v>95</v>
      </c>
      <c r="K452" s="14">
        <f>VLOOKUP(InputData[[#This Row],[PRODUCT ID]],MasterData[],5,0)</f>
        <v>95</v>
      </c>
      <c r="L452" s="14">
        <f>InputData[[#This Row],[BUYING PRIZE]]*InputData[[#This Row],[QUANTITY]]</f>
        <v>760</v>
      </c>
      <c r="M452" s="14">
        <f>InputData[[#This Row],[SELLING PRICE]]*InputData[[#This Row],[QUANTITY]]*(1-InputData[[#This Row],[DISCOUNT %]])</f>
        <v>760</v>
      </c>
      <c r="N452" s="12">
        <f>DAY(InputData[[#This Row],[DATE]])</f>
        <v>19</v>
      </c>
      <c r="O452" s="12" t="str">
        <f>TEXT(InputData[[#This Row],[DATE]],"mmm")</f>
        <v>Sep</v>
      </c>
      <c r="P452" s="12">
        <f>YEAR(InputData[[#This Row],[DATE]])</f>
        <v>2022</v>
      </c>
      <c r="Q452" s="12"/>
    </row>
    <row r="453" spans="1:17" x14ac:dyDescent="0.3">
      <c r="A453" s="10">
        <v>44824</v>
      </c>
      <c r="B453" s="11" t="s">
        <v>75</v>
      </c>
      <c r="C453" s="12">
        <v>6</v>
      </c>
      <c r="D453" s="12" t="s">
        <v>108</v>
      </c>
      <c r="E453" s="12" t="s">
        <v>106</v>
      </c>
      <c r="F453" s="13">
        <v>0</v>
      </c>
      <c r="G453" s="12" t="str">
        <f>VLOOKUP(InputData[[#This Row],[PRODUCT ID]],MasterData[],2,0)</f>
        <v>Product33</v>
      </c>
      <c r="H453" s="12" t="str">
        <f>VLOOKUP(InputData[[#This Row],[PRODUCT ID]],MasterData[],3,0)</f>
        <v>Category04</v>
      </c>
      <c r="I453" s="12" t="str">
        <f>VLOOKUP(InputData[[#This Row],[PRODUCT ID]],MasterData[],4,0)</f>
        <v>Kg</v>
      </c>
      <c r="J453" s="14">
        <f>VLOOKUP(InputData[[#This Row],[PRODUCT ID]],MasterData[],5,0)</f>
        <v>95</v>
      </c>
      <c r="K453" s="14">
        <f>VLOOKUP(InputData[[#This Row],[PRODUCT ID]],MasterData[],5,0)</f>
        <v>95</v>
      </c>
      <c r="L453" s="14">
        <f>InputData[[#This Row],[BUYING PRIZE]]*InputData[[#This Row],[QUANTITY]]</f>
        <v>570</v>
      </c>
      <c r="M453" s="14">
        <f>InputData[[#This Row],[SELLING PRICE]]*InputData[[#This Row],[QUANTITY]]*(1-InputData[[#This Row],[DISCOUNT %]])</f>
        <v>570</v>
      </c>
      <c r="N453" s="12">
        <f>DAY(InputData[[#This Row],[DATE]])</f>
        <v>20</v>
      </c>
      <c r="O453" s="12" t="str">
        <f>TEXT(InputData[[#This Row],[DATE]],"mmm")</f>
        <v>Sep</v>
      </c>
      <c r="P453" s="12">
        <f>YEAR(InputData[[#This Row],[DATE]])</f>
        <v>2022</v>
      </c>
      <c r="Q453" s="12"/>
    </row>
    <row r="454" spans="1:17" x14ac:dyDescent="0.3">
      <c r="A454" s="10">
        <v>44824</v>
      </c>
      <c r="B454" s="11" t="s">
        <v>6</v>
      </c>
      <c r="C454" s="12">
        <v>10</v>
      </c>
      <c r="D454" s="12" t="s">
        <v>108</v>
      </c>
      <c r="E454" s="12" t="s">
        <v>106</v>
      </c>
      <c r="F454" s="13">
        <v>0</v>
      </c>
      <c r="G454" s="12" t="str">
        <f>VLOOKUP(InputData[[#This Row],[PRODUCT ID]],MasterData[],2,0)</f>
        <v>Product01</v>
      </c>
      <c r="H454" s="12" t="str">
        <f>VLOOKUP(InputData[[#This Row],[PRODUCT ID]],MasterData[],3,0)</f>
        <v>Category01</v>
      </c>
      <c r="I454" s="12" t="str">
        <f>VLOOKUP(InputData[[#This Row],[PRODUCT ID]],MasterData[],4,0)</f>
        <v>Kg</v>
      </c>
      <c r="J454" s="14">
        <f>VLOOKUP(InputData[[#This Row],[PRODUCT ID]],MasterData[],5,0)</f>
        <v>98</v>
      </c>
      <c r="K454" s="14">
        <f>VLOOKUP(InputData[[#This Row],[PRODUCT ID]],MasterData[],5,0)</f>
        <v>98</v>
      </c>
      <c r="L454" s="14">
        <f>InputData[[#This Row],[BUYING PRIZE]]*InputData[[#This Row],[QUANTITY]]</f>
        <v>980</v>
      </c>
      <c r="M454" s="14">
        <f>InputData[[#This Row],[SELLING PRICE]]*InputData[[#This Row],[QUANTITY]]*(1-InputData[[#This Row],[DISCOUNT %]])</f>
        <v>980</v>
      </c>
      <c r="N454" s="12">
        <f>DAY(InputData[[#This Row],[DATE]])</f>
        <v>20</v>
      </c>
      <c r="O454" s="12" t="str">
        <f>TEXT(InputData[[#This Row],[DATE]],"mmm")</f>
        <v>Sep</v>
      </c>
      <c r="P454" s="12">
        <f>YEAR(InputData[[#This Row],[DATE]])</f>
        <v>2022</v>
      </c>
      <c r="Q454" s="12"/>
    </row>
    <row r="455" spans="1:17" x14ac:dyDescent="0.3">
      <c r="A455" s="10">
        <v>44825</v>
      </c>
      <c r="B455" s="11" t="s">
        <v>43</v>
      </c>
      <c r="C455" s="12">
        <v>14</v>
      </c>
      <c r="D455" s="12" t="s">
        <v>106</v>
      </c>
      <c r="E455" s="12" t="s">
        <v>106</v>
      </c>
      <c r="F455" s="13">
        <v>0</v>
      </c>
      <c r="G455" s="12" t="str">
        <f>VLOOKUP(InputData[[#This Row],[PRODUCT ID]],MasterData[],2,0)</f>
        <v>Product18</v>
      </c>
      <c r="H455" s="12" t="str">
        <f>VLOOKUP(InputData[[#This Row],[PRODUCT ID]],MasterData[],3,0)</f>
        <v>Category02</v>
      </c>
      <c r="I455" s="12" t="str">
        <f>VLOOKUP(InputData[[#This Row],[PRODUCT ID]],MasterData[],4,0)</f>
        <v>No.</v>
      </c>
      <c r="J455" s="14">
        <f>VLOOKUP(InputData[[#This Row],[PRODUCT ID]],MasterData[],5,0)</f>
        <v>37</v>
      </c>
      <c r="K455" s="14">
        <f>VLOOKUP(InputData[[#This Row],[PRODUCT ID]],MasterData[],5,0)</f>
        <v>37</v>
      </c>
      <c r="L455" s="14">
        <f>InputData[[#This Row],[BUYING PRIZE]]*InputData[[#This Row],[QUANTITY]]</f>
        <v>518</v>
      </c>
      <c r="M455" s="14">
        <f>InputData[[#This Row],[SELLING PRICE]]*InputData[[#This Row],[QUANTITY]]*(1-InputData[[#This Row],[DISCOUNT %]])</f>
        <v>518</v>
      </c>
      <c r="N455" s="12">
        <f>DAY(InputData[[#This Row],[DATE]])</f>
        <v>21</v>
      </c>
      <c r="O455" s="12" t="str">
        <f>TEXT(InputData[[#This Row],[DATE]],"mmm")</f>
        <v>Sep</v>
      </c>
      <c r="P455" s="12">
        <f>YEAR(InputData[[#This Row],[DATE]])</f>
        <v>2022</v>
      </c>
      <c r="Q455" s="12"/>
    </row>
    <row r="456" spans="1:17" x14ac:dyDescent="0.3">
      <c r="A456" s="10">
        <v>44825</v>
      </c>
      <c r="B456" s="11" t="s">
        <v>60</v>
      </c>
      <c r="C456" s="12">
        <v>5</v>
      </c>
      <c r="D456" s="12" t="s">
        <v>108</v>
      </c>
      <c r="E456" s="12" t="s">
        <v>107</v>
      </c>
      <c r="F456" s="13">
        <v>0</v>
      </c>
      <c r="G456" s="12" t="str">
        <f>VLOOKUP(InputData[[#This Row],[PRODUCT ID]],MasterData[],2,0)</f>
        <v>Product26</v>
      </c>
      <c r="H456" s="12" t="str">
        <f>VLOOKUP(InputData[[#This Row],[PRODUCT ID]],MasterData[],3,0)</f>
        <v>Category04</v>
      </c>
      <c r="I456" s="12" t="str">
        <f>VLOOKUP(InputData[[#This Row],[PRODUCT ID]],MasterData[],4,0)</f>
        <v>No.</v>
      </c>
      <c r="J456" s="14">
        <f>VLOOKUP(InputData[[#This Row],[PRODUCT ID]],MasterData[],5,0)</f>
        <v>18</v>
      </c>
      <c r="K456" s="14">
        <f>VLOOKUP(InputData[[#This Row],[PRODUCT ID]],MasterData[],5,0)</f>
        <v>18</v>
      </c>
      <c r="L456" s="14">
        <f>InputData[[#This Row],[BUYING PRIZE]]*InputData[[#This Row],[QUANTITY]]</f>
        <v>90</v>
      </c>
      <c r="M456" s="14">
        <f>InputData[[#This Row],[SELLING PRICE]]*InputData[[#This Row],[QUANTITY]]*(1-InputData[[#This Row],[DISCOUNT %]])</f>
        <v>90</v>
      </c>
      <c r="N456" s="12">
        <f>DAY(InputData[[#This Row],[DATE]])</f>
        <v>21</v>
      </c>
      <c r="O456" s="12" t="str">
        <f>TEXT(InputData[[#This Row],[DATE]],"mmm")</f>
        <v>Sep</v>
      </c>
      <c r="P456" s="12">
        <f>YEAR(InputData[[#This Row],[DATE]])</f>
        <v>2022</v>
      </c>
      <c r="Q456" s="12"/>
    </row>
    <row r="457" spans="1:17" x14ac:dyDescent="0.3">
      <c r="A457" s="10">
        <v>44826</v>
      </c>
      <c r="B457" s="11" t="s">
        <v>96</v>
      </c>
      <c r="C457" s="12">
        <v>12</v>
      </c>
      <c r="D457" s="12" t="s">
        <v>106</v>
      </c>
      <c r="E457" s="12" t="s">
        <v>106</v>
      </c>
      <c r="F457" s="13">
        <v>0</v>
      </c>
      <c r="G457" s="12" t="str">
        <f>VLOOKUP(InputData[[#This Row],[PRODUCT ID]],MasterData[],2,0)</f>
        <v>Product43</v>
      </c>
      <c r="H457" s="12" t="str">
        <f>VLOOKUP(InputData[[#This Row],[PRODUCT ID]],MasterData[],3,0)</f>
        <v>Category05</v>
      </c>
      <c r="I457" s="12" t="str">
        <f>VLOOKUP(InputData[[#This Row],[PRODUCT ID]],MasterData[],4,0)</f>
        <v>Kg</v>
      </c>
      <c r="J457" s="14">
        <f>VLOOKUP(InputData[[#This Row],[PRODUCT ID]],MasterData[],5,0)</f>
        <v>67</v>
      </c>
      <c r="K457" s="14">
        <f>VLOOKUP(InputData[[#This Row],[PRODUCT ID]],MasterData[],5,0)</f>
        <v>67</v>
      </c>
      <c r="L457" s="14">
        <f>InputData[[#This Row],[BUYING PRIZE]]*InputData[[#This Row],[QUANTITY]]</f>
        <v>804</v>
      </c>
      <c r="M457" s="14">
        <f>InputData[[#This Row],[SELLING PRICE]]*InputData[[#This Row],[QUANTITY]]*(1-InputData[[#This Row],[DISCOUNT %]])</f>
        <v>804</v>
      </c>
      <c r="N457" s="12">
        <f>DAY(InputData[[#This Row],[DATE]])</f>
        <v>22</v>
      </c>
      <c r="O457" s="12" t="str">
        <f>TEXT(InputData[[#This Row],[DATE]],"mmm")</f>
        <v>Sep</v>
      </c>
      <c r="P457" s="12">
        <f>YEAR(InputData[[#This Row],[DATE]])</f>
        <v>2022</v>
      </c>
      <c r="Q457" s="12"/>
    </row>
    <row r="458" spans="1:17" x14ac:dyDescent="0.3">
      <c r="A458" s="10">
        <v>44827</v>
      </c>
      <c r="B458" s="11" t="s">
        <v>31</v>
      </c>
      <c r="C458" s="12">
        <v>12</v>
      </c>
      <c r="D458" s="12" t="s">
        <v>108</v>
      </c>
      <c r="E458" s="12" t="s">
        <v>106</v>
      </c>
      <c r="F458" s="13">
        <v>0</v>
      </c>
      <c r="G458" s="12" t="str">
        <f>VLOOKUP(InputData[[#This Row],[PRODUCT ID]],MasterData[],2,0)</f>
        <v>Product12</v>
      </c>
      <c r="H458" s="12" t="str">
        <f>VLOOKUP(InputData[[#This Row],[PRODUCT ID]],MasterData[],3,0)</f>
        <v>Category02</v>
      </c>
      <c r="I458" s="12" t="str">
        <f>VLOOKUP(InputData[[#This Row],[PRODUCT ID]],MasterData[],4,0)</f>
        <v>Kg</v>
      </c>
      <c r="J458" s="14">
        <f>VLOOKUP(InputData[[#This Row],[PRODUCT ID]],MasterData[],5,0)</f>
        <v>73</v>
      </c>
      <c r="K458" s="14">
        <f>VLOOKUP(InputData[[#This Row],[PRODUCT ID]],MasterData[],5,0)</f>
        <v>73</v>
      </c>
      <c r="L458" s="14">
        <f>InputData[[#This Row],[BUYING PRIZE]]*InputData[[#This Row],[QUANTITY]]</f>
        <v>876</v>
      </c>
      <c r="M458" s="14">
        <f>InputData[[#This Row],[SELLING PRICE]]*InputData[[#This Row],[QUANTITY]]*(1-InputData[[#This Row],[DISCOUNT %]])</f>
        <v>876</v>
      </c>
      <c r="N458" s="12">
        <f>DAY(InputData[[#This Row],[DATE]])</f>
        <v>23</v>
      </c>
      <c r="O458" s="12" t="str">
        <f>TEXT(InputData[[#This Row],[DATE]],"mmm")</f>
        <v>Sep</v>
      </c>
      <c r="P458" s="12">
        <f>YEAR(InputData[[#This Row],[DATE]])</f>
        <v>2022</v>
      </c>
      <c r="Q458" s="12"/>
    </row>
    <row r="459" spans="1:17" x14ac:dyDescent="0.3">
      <c r="A459" s="10">
        <v>44828</v>
      </c>
      <c r="B459" s="11" t="s">
        <v>73</v>
      </c>
      <c r="C459" s="12">
        <v>14</v>
      </c>
      <c r="D459" s="12" t="s">
        <v>108</v>
      </c>
      <c r="E459" s="12" t="s">
        <v>106</v>
      </c>
      <c r="F459" s="13">
        <v>0</v>
      </c>
      <c r="G459" s="12" t="str">
        <f>VLOOKUP(InputData[[#This Row],[PRODUCT ID]],MasterData[],2,0)</f>
        <v>Product32</v>
      </c>
      <c r="H459" s="12" t="str">
        <f>VLOOKUP(InputData[[#This Row],[PRODUCT ID]],MasterData[],3,0)</f>
        <v>Category04</v>
      </c>
      <c r="I459" s="12" t="str">
        <f>VLOOKUP(InputData[[#This Row],[PRODUCT ID]],MasterData[],4,0)</f>
        <v>Kg</v>
      </c>
      <c r="J459" s="14">
        <f>VLOOKUP(InputData[[#This Row],[PRODUCT ID]],MasterData[],5,0)</f>
        <v>89</v>
      </c>
      <c r="K459" s="14">
        <f>VLOOKUP(InputData[[#This Row],[PRODUCT ID]],MasterData[],5,0)</f>
        <v>89</v>
      </c>
      <c r="L459" s="14">
        <f>InputData[[#This Row],[BUYING PRIZE]]*InputData[[#This Row],[QUANTITY]]</f>
        <v>1246</v>
      </c>
      <c r="M459" s="14">
        <f>InputData[[#This Row],[SELLING PRICE]]*InputData[[#This Row],[QUANTITY]]*(1-InputData[[#This Row],[DISCOUNT %]])</f>
        <v>1246</v>
      </c>
      <c r="N459" s="12">
        <f>DAY(InputData[[#This Row],[DATE]])</f>
        <v>24</v>
      </c>
      <c r="O459" s="12" t="str">
        <f>TEXT(InputData[[#This Row],[DATE]],"mmm")</f>
        <v>Sep</v>
      </c>
      <c r="P459" s="12">
        <f>YEAR(InputData[[#This Row],[DATE]])</f>
        <v>2022</v>
      </c>
      <c r="Q459" s="12"/>
    </row>
    <row r="460" spans="1:17" x14ac:dyDescent="0.3">
      <c r="A460" s="10">
        <v>44828</v>
      </c>
      <c r="B460" s="11" t="s">
        <v>73</v>
      </c>
      <c r="C460" s="12">
        <v>8</v>
      </c>
      <c r="D460" s="12" t="s">
        <v>108</v>
      </c>
      <c r="E460" s="12" t="s">
        <v>107</v>
      </c>
      <c r="F460" s="13">
        <v>0</v>
      </c>
      <c r="G460" s="12" t="str">
        <f>VLOOKUP(InputData[[#This Row],[PRODUCT ID]],MasterData[],2,0)</f>
        <v>Product32</v>
      </c>
      <c r="H460" s="12" t="str">
        <f>VLOOKUP(InputData[[#This Row],[PRODUCT ID]],MasterData[],3,0)</f>
        <v>Category04</v>
      </c>
      <c r="I460" s="12" t="str">
        <f>VLOOKUP(InputData[[#This Row],[PRODUCT ID]],MasterData[],4,0)</f>
        <v>Kg</v>
      </c>
      <c r="J460" s="14">
        <f>VLOOKUP(InputData[[#This Row],[PRODUCT ID]],MasterData[],5,0)</f>
        <v>89</v>
      </c>
      <c r="K460" s="14">
        <f>VLOOKUP(InputData[[#This Row],[PRODUCT ID]],MasterData[],5,0)</f>
        <v>89</v>
      </c>
      <c r="L460" s="14">
        <f>InputData[[#This Row],[BUYING PRIZE]]*InputData[[#This Row],[QUANTITY]]</f>
        <v>712</v>
      </c>
      <c r="M460" s="14">
        <f>InputData[[#This Row],[SELLING PRICE]]*InputData[[#This Row],[QUANTITY]]*(1-InputData[[#This Row],[DISCOUNT %]])</f>
        <v>712</v>
      </c>
      <c r="N460" s="12">
        <f>DAY(InputData[[#This Row],[DATE]])</f>
        <v>24</v>
      </c>
      <c r="O460" s="12" t="str">
        <f>TEXT(InputData[[#This Row],[DATE]],"mmm")</f>
        <v>Sep</v>
      </c>
      <c r="P460" s="12">
        <f>YEAR(InputData[[#This Row],[DATE]])</f>
        <v>2022</v>
      </c>
      <c r="Q460" s="12"/>
    </row>
    <row r="461" spans="1:17" x14ac:dyDescent="0.3">
      <c r="A461" s="10">
        <v>44831</v>
      </c>
      <c r="B461" s="11" t="s">
        <v>81</v>
      </c>
      <c r="C461" s="12">
        <v>4</v>
      </c>
      <c r="D461" s="12" t="s">
        <v>108</v>
      </c>
      <c r="E461" s="12" t="s">
        <v>107</v>
      </c>
      <c r="F461" s="13">
        <v>0</v>
      </c>
      <c r="G461" s="12" t="str">
        <f>VLOOKUP(InputData[[#This Row],[PRODUCT ID]],MasterData[],2,0)</f>
        <v>Product36</v>
      </c>
      <c r="H461" s="12" t="str">
        <f>VLOOKUP(InputData[[#This Row],[PRODUCT ID]],MasterData[],3,0)</f>
        <v>Category04</v>
      </c>
      <c r="I461" s="12" t="str">
        <f>VLOOKUP(InputData[[#This Row],[PRODUCT ID]],MasterData[],4,0)</f>
        <v>Kg</v>
      </c>
      <c r="J461" s="14">
        <f>VLOOKUP(InputData[[#This Row],[PRODUCT ID]],MasterData[],5,0)</f>
        <v>90</v>
      </c>
      <c r="K461" s="14">
        <f>VLOOKUP(InputData[[#This Row],[PRODUCT ID]],MasterData[],5,0)</f>
        <v>90</v>
      </c>
      <c r="L461" s="14">
        <f>InputData[[#This Row],[BUYING PRIZE]]*InputData[[#This Row],[QUANTITY]]</f>
        <v>360</v>
      </c>
      <c r="M461" s="14">
        <f>InputData[[#This Row],[SELLING PRICE]]*InputData[[#This Row],[QUANTITY]]*(1-InputData[[#This Row],[DISCOUNT %]])</f>
        <v>360</v>
      </c>
      <c r="N461" s="12">
        <f>DAY(InputData[[#This Row],[DATE]])</f>
        <v>27</v>
      </c>
      <c r="O461" s="12" t="str">
        <f>TEXT(InputData[[#This Row],[DATE]],"mmm")</f>
        <v>Sep</v>
      </c>
      <c r="P461" s="12">
        <f>YEAR(InputData[[#This Row],[DATE]])</f>
        <v>2022</v>
      </c>
      <c r="Q461" s="12"/>
    </row>
    <row r="462" spans="1:17" x14ac:dyDescent="0.3">
      <c r="A462" s="10">
        <v>44831</v>
      </c>
      <c r="B462" s="11" t="s">
        <v>98</v>
      </c>
      <c r="C462" s="12">
        <v>9</v>
      </c>
      <c r="D462" s="12" t="s">
        <v>108</v>
      </c>
      <c r="E462" s="12" t="s">
        <v>107</v>
      </c>
      <c r="F462" s="13">
        <v>0</v>
      </c>
      <c r="G462" s="12" t="str">
        <f>VLOOKUP(InputData[[#This Row],[PRODUCT ID]],MasterData[],2,0)</f>
        <v>Product44</v>
      </c>
      <c r="H462" s="12" t="str">
        <f>VLOOKUP(InputData[[#This Row],[PRODUCT ID]],MasterData[],3,0)</f>
        <v>Category05</v>
      </c>
      <c r="I462" s="12" t="str">
        <f>VLOOKUP(InputData[[#This Row],[PRODUCT ID]],MasterData[],4,0)</f>
        <v>Kg</v>
      </c>
      <c r="J462" s="14">
        <f>VLOOKUP(InputData[[#This Row],[PRODUCT ID]],MasterData[],5,0)</f>
        <v>76</v>
      </c>
      <c r="K462" s="14">
        <f>VLOOKUP(InputData[[#This Row],[PRODUCT ID]],MasterData[],5,0)</f>
        <v>76</v>
      </c>
      <c r="L462" s="14">
        <f>InputData[[#This Row],[BUYING PRIZE]]*InputData[[#This Row],[QUANTITY]]</f>
        <v>684</v>
      </c>
      <c r="M462" s="14">
        <f>InputData[[#This Row],[SELLING PRICE]]*InputData[[#This Row],[QUANTITY]]*(1-InputData[[#This Row],[DISCOUNT %]])</f>
        <v>684</v>
      </c>
      <c r="N462" s="12">
        <f>DAY(InputData[[#This Row],[DATE]])</f>
        <v>27</v>
      </c>
      <c r="O462" s="12" t="str">
        <f>TEXT(InputData[[#This Row],[DATE]],"mmm")</f>
        <v>Sep</v>
      </c>
      <c r="P462" s="12">
        <f>YEAR(InputData[[#This Row],[DATE]])</f>
        <v>2022</v>
      </c>
      <c r="Q462" s="12"/>
    </row>
    <row r="463" spans="1:17" x14ac:dyDescent="0.3">
      <c r="A463" s="10">
        <v>44831</v>
      </c>
      <c r="B463" s="11" t="s">
        <v>86</v>
      </c>
      <c r="C463" s="12">
        <v>3</v>
      </c>
      <c r="D463" s="12" t="s">
        <v>105</v>
      </c>
      <c r="E463" s="12" t="s">
        <v>107</v>
      </c>
      <c r="F463" s="13">
        <v>0</v>
      </c>
      <c r="G463" s="12" t="str">
        <f>VLOOKUP(InputData[[#This Row],[PRODUCT ID]],MasterData[],2,0)</f>
        <v>Product38</v>
      </c>
      <c r="H463" s="12" t="str">
        <f>VLOOKUP(InputData[[#This Row],[PRODUCT ID]],MasterData[],3,0)</f>
        <v>Category05</v>
      </c>
      <c r="I463" s="12" t="str">
        <f>VLOOKUP(InputData[[#This Row],[PRODUCT ID]],MasterData[],4,0)</f>
        <v>Kg</v>
      </c>
      <c r="J463" s="14">
        <f>VLOOKUP(InputData[[#This Row],[PRODUCT ID]],MasterData[],5,0)</f>
        <v>72</v>
      </c>
      <c r="K463" s="14">
        <f>VLOOKUP(InputData[[#This Row],[PRODUCT ID]],MasterData[],5,0)</f>
        <v>72</v>
      </c>
      <c r="L463" s="14">
        <f>InputData[[#This Row],[BUYING PRIZE]]*InputData[[#This Row],[QUANTITY]]</f>
        <v>216</v>
      </c>
      <c r="M463" s="14">
        <f>InputData[[#This Row],[SELLING PRICE]]*InputData[[#This Row],[QUANTITY]]*(1-InputData[[#This Row],[DISCOUNT %]])</f>
        <v>216</v>
      </c>
      <c r="N463" s="12">
        <f>DAY(InputData[[#This Row],[DATE]])</f>
        <v>27</v>
      </c>
      <c r="O463" s="12" t="str">
        <f>TEXT(InputData[[#This Row],[DATE]],"mmm")</f>
        <v>Sep</v>
      </c>
      <c r="P463" s="12">
        <f>YEAR(InputData[[#This Row],[DATE]])</f>
        <v>2022</v>
      </c>
      <c r="Q463" s="12"/>
    </row>
    <row r="464" spans="1:17" x14ac:dyDescent="0.3">
      <c r="A464" s="10">
        <v>44833</v>
      </c>
      <c r="B464" s="11" t="s">
        <v>77</v>
      </c>
      <c r="C464" s="12">
        <v>13</v>
      </c>
      <c r="D464" s="12" t="s">
        <v>108</v>
      </c>
      <c r="E464" s="12" t="s">
        <v>106</v>
      </c>
      <c r="F464" s="13">
        <v>0</v>
      </c>
      <c r="G464" s="12" t="str">
        <f>VLOOKUP(InputData[[#This Row],[PRODUCT ID]],MasterData[],2,0)</f>
        <v>Product34</v>
      </c>
      <c r="H464" s="12" t="str">
        <f>VLOOKUP(InputData[[#This Row],[PRODUCT ID]],MasterData[],3,0)</f>
        <v>Category04</v>
      </c>
      <c r="I464" s="12" t="str">
        <f>VLOOKUP(InputData[[#This Row],[PRODUCT ID]],MasterData[],4,0)</f>
        <v>Lt</v>
      </c>
      <c r="J464" s="14">
        <f>VLOOKUP(InputData[[#This Row],[PRODUCT ID]],MasterData[],5,0)</f>
        <v>55</v>
      </c>
      <c r="K464" s="14">
        <f>VLOOKUP(InputData[[#This Row],[PRODUCT ID]],MasterData[],5,0)</f>
        <v>55</v>
      </c>
      <c r="L464" s="14">
        <f>InputData[[#This Row],[BUYING PRIZE]]*InputData[[#This Row],[QUANTITY]]</f>
        <v>715</v>
      </c>
      <c r="M464" s="14">
        <f>InputData[[#This Row],[SELLING PRICE]]*InputData[[#This Row],[QUANTITY]]*(1-InputData[[#This Row],[DISCOUNT %]])</f>
        <v>715</v>
      </c>
      <c r="N464" s="12">
        <f>DAY(InputData[[#This Row],[DATE]])</f>
        <v>29</v>
      </c>
      <c r="O464" s="12" t="str">
        <f>TEXT(InputData[[#This Row],[DATE]],"mmm")</f>
        <v>Sep</v>
      </c>
      <c r="P464" s="12">
        <f>YEAR(InputData[[#This Row],[DATE]])</f>
        <v>2022</v>
      </c>
      <c r="Q464" s="12"/>
    </row>
    <row r="465" spans="1:17" x14ac:dyDescent="0.3">
      <c r="A465" s="10">
        <v>44837</v>
      </c>
      <c r="B465" s="11" t="s">
        <v>29</v>
      </c>
      <c r="C465" s="12">
        <v>5</v>
      </c>
      <c r="D465" s="12" t="s">
        <v>108</v>
      </c>
      <c r="E465" s="12" t="s">
        <v>107</v>
      </c>
      <c r="F465" s="13">
        <v>0</v>
      </c>
      <c r="G465" s="12" t="str">
        <f>VLOOKUP(InputData[[#This Row],[PRODUCT ID]],MasterData[],2,0)</f>
        <v>Product11</v>
      </c>
      <c r="H465" s="12" t="str">
        <f>VLOOKUP(InputData[[#This Row],[PRODUCT ID]],MasterData[],3,0)</f>
        <v>Category02</v>
      </c>
      <c r="I465" s="12" t="str">
        <f>VLOOKUP(InputData[[#This Row],[PRODUCT ID]],MasterData[],4,0)</f>
        <v>Lt</v>
      </c>
      <c r="J465" s="14">
        <f>VLOOKUP(InputData[[#This Row],[PRODUCT ID]],MasterData[],5,0)</f>
        <v>44</v>
      </c>
      <c r="K465" s="14">
        <f>VLOOKUP(InputData[[#This Row],[PRODUCT ID]],MasterData[],5,0)</f>
        <v>44</v>
      </c>
      <c r="L465" s="14">
        <f>InputData[[#This Row],[BUYING PRIZE]]*InputData[[#This Row],[QUANTITY]]</f>
        <v>220</v>
      </c>
      <c r="M465" s="14">
        <f>InputData[[#This Row],[SELLING PRICE]]*InputData[[#This Row],[QUANTITY]]*(1-InputData[[#This Row],[DISCOUNT %]])</f>
        <v>220</v>
      </c>
      <c r="N465" s="12">
        <f>DAY(InputData[[#This Row],[DATE]])</f>
        <v>3</v>
      </c>
      <c r="O465" s="12" t="str">
        <f>TEXT(InputData[[#This Row],[DATE]],"mmm")</f>
        <v>Oct</v>
      </c>
      <c r="P465" s="12">
        <f>YEAR(InputData[[#This Row],[DATE]])</f>
        <v>2022</v>
      </c>
      <c r="Q465" s="12"/>
    </row>
    <row r="466" spans="1:17" x14ac:dyDescent="0.3">
      <c r="A466" s="10">
        <v>44838</v>
      </c>
      <c r="B466" s="11" t="s">
        <v>20</v>
      </c>
      <c r="C466" s="12">
        <v>15</v>
      </c>
      <c r="D466" s="12" t="s">
        <v>108</v>
      </c>
      <c r="E466" s="12" t="s">
        <v>106</v>
      </c>
      <c r="F466" s="13">
        <v>0</v>
      </c>
      <c r="G466" s="12" t="str">
        <f>VLOOKUP(InputData[[#This Row],[PRODUCT ID]],MasterData[],2,0)</f>
        <v>Product07</v>
      </c>
      <c r="H466" s="12" t="str">
        <f>VLOOKUP(InputData[[#This Row],[PRODUCT ID]],MasterData[],3,0)</f>
        <v>Category01</v>
      </c>
      <c r="I466" s="12" t="str">
        <f>VLOOKUP(InputData[[#This Row],[PRODUCT ID]],MasterData[],4,0)</f>
        <v>Lt</v>
      </c>
      <c r="J466" s="14">
        <f>VLOOKUP(InputData[[#This Row],[PRODUCT ID]],MasterData[],5,0)</f>
        <v>43</v>
      </c>
      <c r="K466" s="14">
        <f>VLOOKUP(InputData[[#This Row],[PRODUCT ID]],MasterData[],5,0)</f>
        <v>43</v>
      </c>
      <c r="L466" s="14">
        <f>InputData[[#This Row],[BUYING PRIZE]]*InputData[[#This Row],[QUANTITY]]</f>
        <v>645</v>
      </c>
      <c r="M466" s="14">
        <f>InputData[[#This Row],[SELLING PRICE]]*InputData[[#This Row],[QUANTITY]]*(1-InputData[[#This Row],[DISCOUNT %]])</f>
        <v>645</v>
      </c>
      <c r="N466" s="12">
        <f>DAY(InputData[[#This Row],[DATE]])</f>
        <v>4</v>
      </c>
      <c r="O466" s="12" t="str">
        <f>TEXT(InputData[[#This Row],[DATE]],"mmm")</f>
        <v>Oct</v>
      </c>
      <c r="P466" s="12">
        <f>YEAR(InputData[[#This Row],[DATE]])</f>
        <v>2022</v>
      </c>
      <c r="Q466" s="12"/>
    </row>
    <row r="467" spans="1:17" x14ac:dyDescent="0.3">
      <c r="A467" s="10">
        <v>44840</v>
      </c>
      <c r="B467" s="11" t="s">
        <v>79</v>
      </c>
      <c r="C467" s="12">
        <v>1</v>
      </c>
      <c r="D467" s="12" t="s">
        <v>108</v>
      </c>
      <c r="E467" s="12" t="s">
        <v>106</v>
      </c>
      <c r="F467" s="13">
        <v>0</v>
      </c>
      <c r="G467" s="12" t="str">
        <f>VLOOKUP(InputData[[#This Row],[PRODUCT ID]],MasterData[],2,0)</f>
        <v>Product35</v>
      </c>
      <c r="H467" s="12" t="str">
        <f>VLOOKUP(InputData[[#This Row],[PRODUCT ID]],MasterData[],3,0)</f>
        <v>Category04</v>
      </c>
      <c r="I467" s="12" t="str">
        <f>VLOOKUP(InputData[[#This Row],[PRODUCT ID]],MasterData[],4,0)</f>
        <v>No.</v>
      </c>
      <c r="J467" s="14">
        <f>VLOOKUP(InputData[[#This Row],[PRODUCT ID]],MasterData[],5,0)</f>
        <v>5</v>
      </c>
      <c r="K467" s="14">
        <f>VLOOKUP(InputData[[#This Row],[PRODUCT ID]],MasterData[],5,0)</f>
        <v>5</v>
      </c>
      <c r="L467" s="14">
        <f>InputData[[#This Row],[BUYING PRIZE]]*InputData[[#This Row],[QUANTITY]]</f>
        <v>5</v>
      </c>
      <c r="M467" s="14">
        <f>InputData[[#This Row],[SELLING PRICE]]*InputData[[#This Row],[QUANTITY]]*(1-InputData[[#This Row],[DISCOUNT %]])</f>
        <v>5</v>
      </c>
      <c r="N467" s="12">
        <f>DAY(InputData[[#This Row],[DATE]])</f>
        <v>6</v>
      </c>
      <c r="O467" s="12" t="str">
        <f>TEXT(InputData[[#This Row],[DATE]],"mmm")</f>
        <v>Oct</v>
      </c>
      <c r="P467" s="12">
        <f>YEAR(InputData[[#This Row],[DATE]])</f>
        <v>2022</v>
      </c>
      <c r="Q467" s="12"/>
    </row>
    <row r="468" spans="1:17" x14ac:dyDescent="0.3">
      <c r="A468" s="10">
        <v>44843</v>
      </c>
      <c r="B468" s="11" t="s">
        <v>86</v>
      </c>
      <c r="C468" s="12">
        <v>14</v>
      </c>
      <c r="D468" s="12" t="s">
        <v>106</v>
      </c>
      <c r="E468" s="12" t="s">
        <v>106</v>
      </c>
      <c r="F468" s="13">
        <v>0</v>
      </c>
      <c r="G468" s="12" t="str">
        <f>VLOOKUP(InputData[[#This Row],[PRODUCT ID]],MasterData[],2,0)</f>
        <v>Product38</v>
      </c>
      <c r="H468" s="12" t="str">
        <f>VLOOKUP(InputData[[#This Row],[PRODUCT ID]],MasterData[],3,0)</f>
        <v>Category05</v>
      </c>
      <c r="I468" s="12" t="str">
        <f>VLOOKUP(InputData[[#This Row],[PRODUCT ID]],MasterData[],4,0)</f>
        <v>Kg</v>
      </c>
      <c r="J468" s="14">
        <f>VLOOKUP(InputData[[#This Row],[PRODUCT ID]],MasterData[],5,0)</f>
        <v>72</v>
      </c>
      <c r="K468" s="14">
        <f>VLOOKUP(InputData[[#This Row],[PRODUCT ID]],MasterData[],5,0)</f>
        <v>72</v>
      </c>
      <c r="L468" s="14">
        <f>InputData[[#This Row],[BUYING PRIZE]]*InputData[[#This Row],[QUANTITY]]</f>
        <v>1008</v>
      </c>
      <c r="M468" s="14">
        <f>InputData[[#This Row],[SELLING PRICE]]*InputData[[#This Row],[QUANTITY]]*(1-InputData[[#This Row],[DISCOUNT %]])</f>
        <v>1008</v>
      </c>
      <c r="N468" s="12">
        <f>DAY(InputData[[#This Row],[DATE]])</f>
        <v>9</v>
      </c>
      <c r="O468" s="12" t="str">
        <f>TEXT(InputData[[#This Row],[DATE]],"mmm")</f>
        <v>Oct</v>
      </c>
      <c r="P468" s="12">
        <f>YEAR(InputData[[#This Row],[DATE]])</f>
        <v>2022</v>
      </c>
      <c r="Q468" s="12"/>
    </row>
    <row r="469" spans="1:17" x14ac:dyDescent="0.3">
      <c r="A469" s="10">
        <v>44844</v>
      </c>
      <c r="B469" s="11" t="s">
        <v>45</v>
      </c>
      <c r="C469" s="12">
        <v>9</v>
      </c>
      <c r="D469" s="12" t="s">
        <v>108</v>
      </c>
      <c r="E469" s="12" t="s">
        <v>106</v>
      </c>
      <c r="F469" s="13">
        <v>0</v>
      </c>
      <c r="G469" s="12" t="str">
        <f>VLOOKUP(InputData[[#This Row],[PRODUCT ID]],MasterData[],2,0)</f>
        <v>Product19</v>
      </c>
      <c r="H469" s="12" t="str">
        <f>VLOOKUP(InputData[[#This Row],[PRODUCT ID]],MasterData[],3,0)</f>
        <v>Category02</v>
      </c>
      <c r="I469" s="12" t="str">
        <f>VLOOKUP(InputData[[#This Row],[PRODUCT ID]],MasterData[],4,0)</f>
        <v>Ft</v>
      </c>
      <c r="J469" s="14">
        <f>VLOOKUP(InputData[[#This Row],[PRODUCT ID]],MasterData[],5,0)</f>
        <v>150</v>
      </c>
      <c r="K469" s="14">
        <f>VLOOKUP(InputData[[#This Row],[PRODUCT ID]],MasterData[],5,0)</f>
        <v>150</v>
      </c>
      <c r="L469" s="14">
        <f>InputData[[#This Row],[BUYING PRIZE]]*InputData[[#This Row],[QUANTITY]]</f>
        <v>1350</v>
      </c>
      <c r="M469" s="14">
        <f>InputData[[#This Row],[SELLING PRICE]]*InputData[[#This Row],[QUANTITY]]*(1-InputData[[#This Row],[DISCOUNT %]])</f>
        <v>1350</v>
      </c>
      <c r="N469" s="12">
        <f>DAY(InputData[[#This Row],[DATE]])</f>
        <v>10</v>
      </c>
      <c r="O469" s="12" t="str">
        <f>TEXT(InputData[[#This Row],[DATE]],"mmm")</f>
        <v>Oct</v>
      </c>
      <c r="P469" s="12">
        <f>YEAR(InputData[[#This Row],[DATE]])</f>
        <v>2022</v>
      </c>
      <c r="Q469" s="12"/>
    </row>
    <row r="470" spans="1:17" x14ac:dyDescent="0.3">
      <c r="A470" s="10">
        <v>44844</v>
      </c>
      <c r="B470" s="11" t="s">
        <v>98</v>
      </c>
      <c r="C470" s="12">
        <v>12</v>
      </c>
      <c r="D470" s="12" t="s">
        <v>106</v>
      </c>
      <c r="E470" s="12" t="s">
        <v>106</v>
      </c>
      <c r="F470" s="13">
        <v>0</v>
      </c>
      <c r="G470" s="12" t="str">
        <f>VLOOKUP(InputData[[#This Row],[PRODUCT ID]],MasterData[],2,0)</f>
        <v>Product44</v>
      </c>
      <c r="H470" s="12" t="str">
        <f>VLOOKUP(InputData[[#This Row],[PRODUCT ID]],MasterData[],3,0)</f>
        <v>Category05</v>
      </c>
      <c r="I470" s="12" t="str">
        <f>VLOOKUP(InputData[[#This Row],[PRODUCT ID]],MasterData[],4,0)</f>
        <v>Kg</v>
      </c>
      <c r="J470" s="14">
        <f>VLOOKUP(InputData[[#This Row],[PRODUCT ID]],MasterData[],5,0)</f>
        <v>76</v>
      </c>
      <c r="K470" s="14">
        <f>VLOOKUP(InputData[[#This Row],[PRODUCT ID]],MasterData[],5,0)</f>
        <v>76</v>
      </c>
      <c r="L470" s="14">
        <f>InputData[[#This Row],[BUYING PRIZE]]*InputData[[#This Row],[QUANTITY]]</f>
        <v>912</v>
      </c>
      <c r="M470" s="14">
        <f>InputData[[#This Row],[SELLING PRICE]]*InputData[[#This Row],[QUANTITY]]*(1-InputData[[#This Row],[DISCOUNT %]])</f>
        <v>912</v>
      </c>
      <c r="N470" s="12">
        <f>DAY(InputData[[#This Row],[DATE]])</f>
        <v>10</v>
      </c>
      <c r="O470" s="12" t="str">
        <f>TEXT(InputData[[#This Row],[DATE]],"mmm")</f>
        <v>Oct</v>
      </c>
      <c r="P470" s="12">
        <f>YEAR(InputData[[#This Row],[DATE]])</f>
        <v>2022</v>
      </c>
      <c r="Q470" s="12"/>
    </row>
    <row r="471" spans="1:17" x14ac:dyDescent="0.3">
      <c r="A471" s="10">
        <v>44845</v>
      </c>
      <c r="B471" s="11" t="s">
        <v>22</v>
      </c>
      <c r="C471" s="12">
        <v>10</v>
      </c>
      <c r="D471" s="12" t="s">
        <v>108</v>
      </c>
      <c r="E471" s="12" t="s">
        <v>106</v>
      </c>
      <c r="F471" s="13">
        <v>0</v>
      </c>
      <c r="G471" s="12" t="str">
        <f>VLOOKUP(InputData[[#This Row],[PRODUCT ID]],MasterData[],2,0)</f>
        <v>Product08</v>
      </c>
      <c r="H471" s="12" t="str">
        <f>VLOOKUP(InputData[[#This Row],[PRODUCT ID]],MasterData[],3,0)</f>
        <v>Category01</v>
      </c>
      <c r="I471" s="12" t="str">
        <f>VLOOKUP(InputData[[#This Row],[PRODUCT ID]],MasterData[],4,0)</f>
        <v>Kg</v>
      </c>
      <c r="J471" s="14">
        <f>VLOOKUP(InputData[[#This Row],[PRODUCT ID]],MasterData[],5,0)</f>
        <v>83</v>
      </c>
      <c r="K471" s="14">
        <f>VLOOKUP(InputData[[#This Row],[PRODUCT ID]],MasterData[],5,0)</f>
        <v>83</v>
      </c>
      <c r="L471" s="14">
        <f>InputData[[#This Row],[BUYING PRIZE]]*InputData[[#This Row],[QUANTITY]]</f>
        <v>830</v>
      </c>
      <c r="M471" s="14">
        <f>InputData[[#This Row],[SELLING PRICE]]*InputData[[#This Row],[QUANTITY]]*(1-InputData[[#This Row],[DISCOUNT %]])</f>
        <v>830</v>
      </c>
      <c r="N471" s="12">
        <f>DAY(InputData[[#This Row],[DATE]])</f>
        <v>11</v>
      </c>
      <c r="O471" s="12" t="str">
        <f>TEXT(InputData[[#This Row],[DATE]],"mmm")</f>
        <v>Oct</v>
      </c>
      <c r="P471" s="12">
        <f>YEAR(InputData[[#This Row],[DATE]])</f>
        <v>2022</v>
      </c>
      <c r="Q471" s="12"/>
    </row>
    <row r="472" spans="1:17" x14ac:dyDescent="0.3">
      <c r="A472" s="10">
        <v>44847</v>
      </c>
      <c r="B472" s="11" t="s">
        <v>10</v>
      </c>
      <c r="C472" s="12">
        <v>15</v>
      </c>
      <c r="D472" s="12" t="s">
        <v>106</v>
      </c>
      <c r="E472" s="12" t="s">
        <v>106</v>
      </c>
      <c r="F472" s="13">
        <v>0</v>
      </c>
      <c r="G472" s="12" t="str">
        <f>VLOOKUP(InputData[[#This Row],[PRODUCT ID]],MasterData[],2,0)</f>
        <v>Product02</v>
      </c>
      <c r="H472" s="12" t="str">
        <f>VLOOKUP(InputData[[#This Row],[PRODUCT ID]],MasterData[],3,0)</f>
        <v>Category01</v>
      </c>
      <c r="I472" s="12" t="str">
        <f>VLOOKUP(InputData[[#This Row],[PRODUCT ID]],MasterData[],4,0)</f>
        <v>Kg</v>
      </c>
      <c r="J472" s="14">
        <f>VLOOKUP(InputData[[#This Row],[PRODUCT ID]],MasterData[],5,0)</f>
        <v>105</v>
      </c>
      <c r="K472" s="14">
        <f>VLOOKUP(InputData[[#This Row],[PRODUCT ID]],MasterData[],5,0)</f>
        <v>105</v>
      </c>
      <c r="L472" s="14">
        <f>InputData[[#This Row],[BUYING PRIZE]]*InputData[[#This Row],[QUANTITY]]</f>
        <v>1575</v>
      </c>
      <c r="M472" s="14">
        <f>InputData[[#This Row],[SELLING PRICE]]*InputData[[#This Row],[QUANTITY]]*(1-InputData[[#This Row],[DISCOUNT %]])</f>
        <v>1575</v>
      </c>
      <c r="N472" s="12">
        <f>DAY(InputData[[#This Row],[DATE]])</f>
        <v>13</v>
      </c>
      <c r="O472" s="12" t="str">
        <f>TEXT(InputData[[#This Row],[DATE]],"mmm")</f>
        <v>Oct</v>
      </c>
      <c r="P472" s="12">
        <f>YEAR(InputData[[#This Row],[DATE]])</f>
        <v>2022</v>
      </c>
      <c r="Q472" s="12"/>
    </row>
    <row r="473" spans="1:17" x14ac:dyDescent="0.3">
      <c r="A473" s="10">
        <v>44848</v>
      </c>
      <c r="B473" s="11" t="s">
        <v>98</v>
      </c>
      <c r="C473" s="12">
        <v>15</v>
      </c>
      <c r="D473" s="12" t="s">
        <v>105</v>
      </c>
      <c r="E473" s="12" t="s">
        <v>106</v>
      </c>
      <c r="F473" s="13">
        <v>0</v>
      </c>
      <c r="G473" s="12" t="str">
        <f>VLOOKUP(InputData[[#This Row],[PRODUCT ID]],MasterData[],2,0)</f>
        <v>Product44</v>
      </c>
      <c r="H473" s="12" t="str">
        <f>VLOOKUP(InputData[[#This Row],[PRODUCT ID]],MasterData[],3,0)</f>
        <v>Category05</v>
      </c>
      <c r="I473" s="12" t="str">
        <f>VLOOKUP(InputData[[#This Row],[PRODUCT ID]],MasterData[],4,0)</f>
        <v>Kg</v>
      </c>
      <c r="J473" s="14">
        <f>VLOOKUP(InputData[[#This Row],[PRODUCT ID]],MasterData[],5,0)</f>
        <v>76</v>
      </c>
      <c r="K473" s="14">
        <f>VLOOKUP(InputData[[#This Row],[PRODUCT ID]],MasterData[],5,0)</f>
        <v>76</v>
      </c>
      <c r="L473" s="14">
        <f>InputData[[#This Row],[BUYING PRIZE]]*InputData[[#This Row],[QUANTITY]]</f>
        <v>1140</v>
      </c>
      <c r="M473" s="14">
        <f>InputData[[#This Row],[SELLING PRICE]]*InputData[[#This Row],[QUANTITY]]*(1-InputData[[#This Row],[DISCOUNT %]])</f>
        <v>1140</v>
      </c>
      <c r="N473" s="12">
        <f>DAY(InputData[[#This Row],[DATE]])</f>
        <v>14</v>
      </c>
      <c r="O473" s="12" t="str">
        <f>TEXT(InputData[[#This Row],[DATE]],"mmm")</f>
        <v>Oct</v>
      </c>
      <c r="P473" s="12">
        <f>YEAR(InputData[[#This Row],[DATE]])</f>
        <v>2022</v>
      </c>
      <c r="Q473" s="12"/>
    </row>
    <row r="474" spans="1:17" x14ac:dyDescent="0.3">
      <c r="A474" s="10">
        <v>44849</v>
      </c>
      <c r="B474" s="11" t="s">
        <v>37</v>
      </c>
      <c r="C474" s="12">
        <v>10</v>
      </c>
      <c r="D474" s="12" t="s">
        <v>108</v>
      </c>
      <c r="E474" s="12" t="s">
        <v>107</v>
      </c>
      <c r="F474" s="13">
        <v>0</v>
      </c>
      <c r="G474" s="12" t="str">
        <f>VLOOKUP(InputData[[#This Row],[PRODUCT ID]],MasterData[],2,0)</f>
        <v>Product15</v>
      </c>
      <c r="H474" s="12" t="str">
        <f>VLOOKUP(InputData[[#This Row],[PRODUCT ID]],MasterData[],3,0)</f>
        <v>Category02</v>
      </c>
      <c r="I474" s="12" t="str">
        <f>VLOOKUP(InputData[[#This Row],[PRODUCT ID]],MasterData[],4,0)</f>
        <v>No.</v>
      </c>
      <c r="J474" s="14">
        <f>VLOOKUP(InputData[[#This Row],[PRODUCT ID]],MasterData[],5,0)</f>
        <v>12</v>
      </c>
      <c r="K474" s="14">
        <f>VLOOKUP(InputData[[#This Row],[PRODUCT ID]],MasterData[],5,0)</f>
        <v>12</v>
      </c>
      <c r="L474" s="14">
        <f>InputData[[#This Row],[BUYING PRIZE]]*InputData[[#This Row],[QUANTITY]]</f>
        <v>120</v>
      </c>
      <c r="M474" s="14">
        <f>InputData[[#This Row],[SELLING PRICE]]*InputData[[#This Row],[QUANTITY]]*(1-InputData[[#This Row],[DISCOUNT %]])</f>
        <v>120</v>
      </c>
      <c r="N474" s="12">
        <f>DAY(InputData[[#This Row],[DATE]])</f>
        <v>15</v>
      </c>
      <c r="O474" s="12" t="str">
        <f>TEXT(InputData[[#This Row],[DATE]],"mmm")</f>
        <v>Oct</v>
      </c>
      <c r="P474" s="12">
        <f>YEAR(InputData[[#This Row],[DATE]])</f>
        <v>2022</v>
      </c>
      <c r="Q474" s="12"/>
    </row>
    <row r="475" spans="1:17" x14ac:dyDescent="0.3">
      <c r="A475" s="10">
        <v>44850</v>
      </c>
      <c r="B475" s="11" t="s">
        <v>81</v>
      </c>
      <c r="C475" s="12">
        <v>3</v>
      </c>
      <c r="D475" s="12" t="s">
        <v>106</v>
      </c>
      <c r="E475" s="12" t="s">
        <v>106</v>
      </c>
      <c r="F475" s="13">
        <v>0</v>
      </c>
      <c r="G475" s="12" t="str">
        <f>VLOOKUP(InputData[[#This Row],[PRODUCT ID]],MasterData[],2,0)</f>
        <v>Product36</v>
      </c>
      <c r="H475" s="12" t="str">
        <f>VLOOKUP(InputData[[#This Row],[PRODUCT ID]],MasterData[],3,0)</f>
        <v>Category04</v>
      </c>
      <c r="I475" s="12" t="str">
        <f>VLOOKUP(InputData[[#This Row],[PRODUCT ID]],MasterData[],4,0)</f>
        <v>Kg</v>
      </c>
      <c r="J475" s="14">
        <f>VLOOKUP(InputData[[#This Row],[PRODUCT ID]],MasterData[],5,0)</f>
        <v>90</v>
      </c>
      <c r="K475" s="14">
        <f>VLOOKUP(InputData[[#This Row],[PRODUCT ID]],MasterData[],5,0)</f>
        <v>90</v>
      </c>
      <c r="L475" s="14">
        <f>InputData[[#This Row],[BUYING PRIZE]]*InputData[[#This Row],[QUANTITY]]</f>
        <v>270</v>
      </c>
      <c r="M475" s="14">
        <f>InputData[[#This Row],[SELLING PRICE]]*InputData[[#This Row],[QUANTITY]]*(1-InputData[[#This Row],[DISCOUNT %]])</f>
        <v>270</v>
      </c>
      <c r="N475" s="12">
        <f>DAY(InputData[[#This Row],[DATE]])</f>
        <v>16</v>
      </c>
      <c r="O475" s="12" t="str">
        <f>TEXT(InputData[[#This Row],[DATE]],"mmm")</f>
        <v>Oct</v>
      </c>
      <c r="P475" s="12">
        <f>YEAR(InputData[[#This Row],[DATE]])</f>
        <v>2022</v>
      </c>
      <c r="Q475" s="12"/>
    </row>
    <row r="476" spans="1:17" x14ac:dyDescent="0.3">
      <c r="A476" s="10">
        <v>44857</v>
      </c>
      <c r="B476" s="11" t="s">
        <v>56</v>
      </c>
      <c r="C476" s="12">
        <v>14</v>
      </c>
      <c r="D476" s="12" t="s">
        <v>106</v>
      </c>
      <c r="E476" s="12" t="s">
        <v>107</v>
      </c>
      <c r="F476" s="13">
        <v>0</v>
      </c>
      <c r="G476" s="12" t="str">
        <f>VLOOKUP(InputData[[#This Row],[PRODUCT ID]],MasterData[],2,0)</f>
        <v>Product24</v>
      </c>
      <c r="H476" s="12" t="str">
        <f>VLOOKUP(InputData[[#This Row],[PRODUCT ID]],MasterData[],3,0)</f>
        <v>Category03</v>
      </c>
      <c r="I476" s="12" t="str">
        <f>VLOOKUP(InputData[[#This Row],[PRODUCT ID]],MasterData[],4,0)</f>
        <v>Ft</v>
      </c>
      <c r="J476" s="14">
        <f>VLOOKUP(InputData[[#This Row],[PRODUCT ID]],MasterData[],5,0)</f>
        <v>144</v>
      </c>
      <c r="K476" s="14">
        <f>VLOOKUP(InputData[[#This Row],[PRODUCT ID]],MasterData[],5,0)</f>
        <v>144</v>
      </c>
      <c r="L476" s="14">
        <f>InputData[[#This Row],[BUYING PRIZE]]*InputData[[#This Row],[QUANTITY]]</f>
        <v>2016</v>
      </c>
      <c r="M476" s="14">
        <f>InputData[[#This Row],[SELLING PRICE]]*InputData[[#This Row],[QUANTITY]]*(1-InputData[[#This Row],[DISCOUNT %]])</f>
        <v>2016</v>
      </c>
      <c r="N476" s="12">
        <f>DAY(InputData[[#This Row],[DATE]])</f>
        <v>23</v>
      </c>
      <c r="O476" s="12" t="str">
        <f>TEXT(InputData[[#This Row],[DATE]],"mmm")</f>
        <v>Oct</v>
      </c>
      <c r="P476" s="12">
        <f>YEAR(InputData[[#This Row],[DATE]])</f>
        <v>2022</v>
      </c>
      <c r="Q476" s="12"/>
    </row>
    <row r="477" spans="1:17" x14ac:dyDescent="0.3">
      <c r="A477" s="10">
        <v>44864</v>
      </c>
      <c r="B477" s="11" t="s">
        <v>94</v>
      </c>
      <c r="C477" s="12">
        <v>3</v>
      </c>
      <c r="D477" s="12" t="s">
        <v>108</v>
      </c>
      <c r="E477" s="12" t="s">
        <v>107</v>
      </c>
      <c r="F477" s="13">
        <v>0</v>
      </c>
      <c r="G477" s="12" t="str">
        <f>VLOOKUP(InputData[[#This Row],[PRODUCT ID]],MasterData[],2,0)</f>
        <v>Product42</v>
      </c>
      <c r="H477" s="12" t="str">
        <f>VLOOKUP(InputData[[#This Row],[PRODUCT ID]],MasterData[],3,0)</f>
        <v>Category05</v>
      </c>
      <c r="I477" s="12" t="str">
        <f>VLOOKUP(InputData[[#This Row],[PRODUCT ID]],MasterData[],4,0)</f>
        <v>Ft</v>
      </c>
      <c r="J477" s="14">
        <f>VLOOKUP(InputData[[#This Row],[PRODUCT ID]],MasterData[],5,0)</f>
        <v>120</v>
      </c>
      <c r="K477" s="14">
        <f>VLOOKUP(InputData[[#This Row],[PRODUCT ID]],MasterData[],5,0)</f>
        <v>120</v>
      </c>
      <c r="L477" s="14">
        <f>InputData[[#This Row],[BUYING PRIZE]]*InputData[[#This Row],[QUANTITY]]</f>
        <v>360</v>
      </c>
      <c r="M477" s="14">
        <f>InputData[[#This Row],[SELLING PRICE]]*InputData[[#This Row],[QUANTITY]]*(1-InputData[[#This Row],[DISCOUNT %]])</f>
        <v>360</v>
      </c>
      <c r="N477" s="12">
        <f>DAY(InputData[[#This Row],[DATE]])</f>
        <v>30</v>
      </c>
      <c r="O477" s="12" t="str">
        <f>TEXT(InputData[[#This Row],[DATE]],"mmm")</f>
        <v>Oct</v>
      </c>
      <c r="P477" s="12">
        <f>YEAR(InputData[[#This Row],[DATE]])</f>
        <v>2022</v>
      </c>
      <c r="Q477" s="12"/>
    </row>
    <row r="478" spans="1:17" x14ac:dyDescent="0.3">
      <c r="A478" s="10">
        <v>44865</v>
      </c>
      <c r="B478" s="11" t="s">
        <v>86</v>
      </c>
      <c r="C478" s="12">
        <v>8</v>
      </c>
      <c r="D478" s="12" t="s">
        <v>108</v>
      </c>
      <c r="E478" s="12" t="s">
        <v>106</v>
      </c>
      <c r="F478" s="13">
        <v>0</v>
      </c>
      <c r="G478" s="12" t="str">
        <f>VLOOKUP(InputData[[#This Row],[PRODUCT ID]],MasterData[],2,0)</f>
        <v>Product38</v>
      </c>
      <c r="H478" s="12" t="str">
        <f>VLOOKUP(InputData[[#This Row],[PRODUCT ID]],MasterData[],3,0)</f>
        <v>Category05</v>
      </c>
      <c r="I478" s="12" t="str">
        <f>VLOOKUP(InputData[[#This Row],[PRODUCT ID]],MasterData[],4,0)</f>
        <v>Kg</v>
      </c>
      <c r="J478" s="14">
        <f>VLOOKUP(InputData[[#This Row],[PRODUCT ID]],MasterData[],5,0)</f>
        <v>72</v>
      </c>
      <c r="K478" s="14">
        <f>VLOOKUP(InputData[[#This Row],[PRODUCT ID]],MasterData[],5,0)</f>
        <v>72</v>
      </c>
      <c r="L478" s="14">
        <f>InputData[[#This Row],[BUYING PRIZE]]*InputData[[#This Row],[QUANTITY]]</f>
        <v>576</v>
      </c>
      <c r="M478" s="14">
        <f>InputData[[#This Row],[SELLING PRICE]]*InputData[[#This Row],[QUANTITY]]*(1-InputData[[#This Row],[DISCOUNT %]])</f>
        <v>576</v>
      </c>
      <c r="N478" s="12">
        <f>DAY(InputData[[#This Row],[DATE]])</f>
        <v>31</v>
      </c>
      <c r="O478" s="12" t="str">
        <f>TEXT(InputData[[#This Row],[DATE]],"mmm")</f>
        <v>Oct</v>
      </c>
      <c r="P478" s="12">
        <f>YEAR(InputData[[#This Row],[DATE]])</f>
        <v>2022</v>
      </c>
      <c r="Q478" s="12"/>
    </row>
    <row r="479" spans="1:17" x14ac:dyDescent="0.3">
      <c r="A479" s="10">
        <v>44866</v>
      </c>
      <c r="B479" s="11" t="s">
        <v>31</v>
      </c>
      <c r="C479" s="12">
        <v>15</v>
      </c>
      <c r="D479" s="12" t="s">
        <v>105</v>
      </c>
      <c r="E479" s="12" t="s">
        <v>106</v>
      </c>
      <c r="F479" s="13">
        <v>0</v>
      </c>
      <c r="G479" s="12" t="str">
        <f>VLOOKUP(InputData[[#This Row],[PRODUCT ID]],MasterData[],2,0)</f>
        <v>Product12</v>
      </c>
      <c r="H479" s="12" t="str">
        <f>VLOOKUP(InputData[[#This Row],[PRODUCT ID]],MasterData[],3,0)</f>
        <v>Category02</v>
      </c>
      <c r="I479" s="12" t="str">
        <f>VLOOKUP(InputData[[#This Row],[PRODUCT ID]],MasterData[],4,0)</f>
        <v>Kg</v>
      </c>
      <c r="J479" s="14">
        <f>VLOOKUP(InputData[[#This Row],[PRODUCT ID]],MasterData[],5,0)</f>
        <v>73</v>
      </c>
      <c r="K479" s="14">
        <f>VLOOKUP(InputData[[#This Row],[PRODUCT ID]],MasterData[],5,0)</f>
        <v>73</v>
      </c>
      <c r="L479" s="14">
        <f>InputData[[#This Row],[BUYING PRIZE]]*InputData[[#This Row],[QUANTITY]]</f>
        <v>1095</v>
      </c>
      <c r="M479" s="14">
        <f>InputData[[#This Row],[SELLING PRICE]]*InputData[[#This Row],[QUANTITY]]*(1-InputData[[#This Row],[DISCOUNT %]])</f>
        <v>1095</v>
      </c>
      <c r="N479" s="12">
        <f>DAY(InputData[[#This Row],[DATE]])</f>
        <v>1</v>
      </c>
      <c r="O479" s="12" t="str">
        <f>TEXT(InputData[[#This Row],[DATE]],"mmm")</f>
        <v>Nov</v>
      </c>
      <c r="P479" s="12">
        <f>YEAR(InputData[[#This Row],[DATE]])</f>
        <v>2022</v>
      </c>
      <c r="Q479" s="12"/>
    </row>
    <row r="480" spans="1:17" x14ac:dyDescent="0.3">
      <c r="A480" s="10">
        <v>44867</v>
      </c>
      <c r="B480" s="11" t="s">
        <v>37</v>
      </c>
      <c r="C480" s="12">
        <v>15</v>
      </c>
      <c r="D480" s="12" t="s">
        <v>105</v>
      </c>
      <c r="E480" s="12" t="s">
        <v>107</v>
      </c>
      <c r="F480" s="13">
        <v>0</v>
      </c>
      <c r="G480" s="12" t="str">
        <f>VLOOKUP(InputData[[#This Row],[PRODUCT ID]],MasterData[],2,0)</f>
        <v>Product15</v>
      </c>
      <c r="H480" s="12" t="str">
        <f>VLOOKUP(InputData[[#This Row],[PRODUCT ID]],MasterData[],3,0)</f>
        <v>Category02</v>
      </c>
      <c r="I480" s="12" t="str">
        <f>VLOOKUP(InputData[[#This Row],[PRODUCT ID]],MasterData[],4,0)</f>
        <v>No.</v>
      </c>
      <c r="J480" s="14">
        <f>VLOOKUP(InputData[[#This Row],[PRODUCT ID]],MasterData[],5,0)</f>
        <v>12</v>
      </c>
      <c r="K480" s="14">
        <f>VLOOKUP(InputData[[#This Row],[PRODUCT ID]],MasterData[],5,0)</f>
        <v>12</v>
      </c>
      <c r="L480" s="14">
        <f>InputData[[#This Row],[BUYING PRIZE]]*InputData[[#This Row],[QUANTITY]]</f>
        <v>180</v>
      </c>
      <c r="M480" s="14">
        <f>InputData[[#This Row],[SELLING PRICE]]*InputData[[#This Row],[QUANTITY]]*(1-InputData[[#This Row],[DISCOUNT %]])</f>
        <v>180</v>
      </c>
      <c r="N480" s="12">
        <f>DAY(InputData[[#This Row],[DATE]])</f>
        <v>2</v>
      </c>
      <c r="O480" s="12" t="str">
        <f>TEXT(InputData[[#This Row],[DATE]],"mmm")</f>
        <v>Nov</v>
      </c>
      <c r="P480" s="12">
        <f>YEAR(InputData[[#This Row],[DATE]])</f>
        <v>2022</v>
      </c>
      <c r="Q480" s="12"/>
    </row>
    <row r="481" spans="1:17" x14ac:dyDescent="0.3">
      <c r="A481" s="10">
        <v>44867</v>
      </c>
      <c r="B481" s="11" t="s">
        <v>69</v>
      </c>
      <c r="C481" s="12">
        <v>15</v>
      </c>
      <c r="D481" s="12" t="s">
        <v>108</v>
      </c>
      <c r="E481" s="12" t="s">
        <v>107</v>
      </c>
      <c r="F481" s="13">
        <v>0</v>
      </c>
      <c r="G481" s="12" t="str">
        <f>VLOOKUP(InputData[[#This Row],[PRODUCT ID]],MasterData[],2,0)</f>
        <v>Product30</v>
      </c>
      <c r="H481" s="12" t="str">
        <f>VLOOKUP(InputData[[#This Row],[PRODUCT ID]],MasterData[],3,0)</f>
        <v>Category04</v>
      </c>
      <c r="I481" s="12" t="str">
        <f>VLOOKUP(InputData[[#This Row],[PRODUCT ID]],MasterData[],4,0)</f>
        <v>Ft</v>
      </c>
      <c r="J481" s="14">
        <f>VLOOKUP(InputData[[#This Row],[PRODUCT ID]],MasterData[],5,0)</f>
        <v>148</v>
      </c>
      <c r="K481" s="14">
        <f>VLOOKUP(InputData[[#This Row],[PRODUCT ID]],MasterData[],5,0)</f>
        <v>148</v>
      </c>
      <c r="L481" s="14">
        <f>InputData[[#This Row],[BUYING PRIZE]]*InputData[[#This Row],[QUANTITY]]</f>
        <v>2220</v>
      </c>
      <c r="M481" s="14">
        <f>InputData[[#This Row],[SELLING PRICE]]*InputData[[#This Row],[QUANTITY]]*(1-InputData[[#This Row],[DISCOUNT %]])</f>
        <v>2220</v>
      </c>
      <c r="N481" s="12">
        <f>DAY(InputData[[#This Row],[DATE]])</f>
        <v>2</v>
      </c>
      <c r="O481" s="12" t="str">
        <f>TEXT(InputData[[#This Row],[DATE]],"mmm")</f>
        <v>Nov</v>
      </c>
      <c r="P481" s="12">
        <f>YEAR(InputData[[#This Row],[DATE]])</f>
        <v>2022</v>
      </c>
      <c r="Q481" s="12"/>
    </row>
    <row r="482" spans="1:17" x14ac:dyDescent="0.3">
      <c r="A482" s="10">
        <v>44867</v>
      </c>
      <c r="B482" s="11" t="s">
        <v>79</v>
      </c>
      <c r="C482" s="12">
        <v>5</v>
      </c>
      <c r="D482" s="12" t="s">
        <v>108</v>
      </c>
      <c r="E482" s="12" t="s">
        <v>107</v>
      </c>
      <c r="F482" s="13">
        <v>0</v>
      </c>
      <c r="G482" s="12" t="str">
        <f>VLOOKUP(InputData[[#This Row],[PRODUCT ID]],MasterData[],2,0)</f>
        <v>Product35</v>
      </c>
      <c r="H482" s="12" t="str">
        <f>VLOOKUP(InputData[[#This Row],[PRODUCT ID]],MasterData[],3,0)</f>
        <v>Category04</v>
      </c>
      <c r="I482" s="12" t="str">
        <f>VLOOKUP(InputData[[#This Row],[PRODUCT ID]],MasterData[],4,0)</f>
        <v>No.</v>
      </c>
      <c r="J482" s="14">
        <f>VLOOKUP(InputData[[#This Row],[PRODUCT ID]],MasterData[],5,0)</f>
        <v>5</v>
      </c>
      <c r="K482" s="14">
        <f>VLOOKUP(InputData[[#This Row],[PRODUCT ID]],MasterData[],5,0)</f>
        <v>5</v>
      </c>
      <c r="L482" s="14">
        <f>InputData[[#This Row],[BUYING PRIZE]]*InputData[[#This Row],[QUANTITY]]</f>
        <v>25</v>
      </c>
      <c r="M482" s="14">
        <f>InputData[[#This Row],[SELLING PRICE]]*InputData[[#This Row],[QUANTITY]]*(1-InputData[[#This Row],[DISCOUNT %]])</f>
        <v>25</v>
      </c>
      <c r="N482" s="12">
        <f>DAY(InputData[[#This Row],[DATE]])</f>
        <v>2</v>
      </c>
      <c r="O482" s="12" t="str">
        <f>TEXT(InputData[[#This Row],[DATE]],"mmm")</f>
        <v>Nov</v>
      </c>
      <c r="P482" s="12">
        <f>YEAR(InputData[[#This Row],[DATE]])</f>
        <v>2022</v>
      </c>
      <c r="Q482" s="12"/>
    </row>
    <row r="483" spans="1:17" x14ac:dyDescent="0.3">
      <c r="A483" s="10">
        <v>44868</v>
      </c>
      <c r="B483" s="11" t="s">
        <v>47</v>
      </c>
      <c r="C483" s="12">
        <v>11</v>
      </c>
      <c r="D483" s="12" t="s">
        <v>106</v>
      </c>
      <c r="E483" s="12" t="s">
        <v>106</v>
      </c>
      <c r="F483" s="13">
        <v>0</v>
      </c>
      <c r="G483" s="12" t="str">
        <f>VLOOKUP(InputData[[#This Row],[PRODUCT ID]],MasterData[],2,0)</f>
        <v>Product20</v>
      </c>
      <c r="H483" s="12" t="str">
        <f>VLOOKUP(InputData[[#This Row],[PRODUCT ID]],MasterData[],3,0)</f>
        <v>Category03</v>
      </c>
      <c r="I483" s="12" t="str">
        <f>VLOOKUP(InputData[[#This Row],[PRODUCT ID]],MasterData[],4,0)</f>
        <v>Lt</v>
      </c>
      <c r="J483" s="14">
        <f>VLOOKUP(InputData[[#This Row],[PRODUCT ID]],MasterData[],5,0)</f>
        <v>61</v>
      </c>
      <c r="K483" s="14">
        <f>VLOOKUP(InputData[[#This Row],[PRODUCT ID]],MasterData[],5,0)</f>
        <v>61</v>
      </c>
      <c r="L483" s="14">
        <f>InputData[[#This Row],[BUYING PRIZE]]*InputData[[#This Row],[QUANTITY]]</f>
        <v>671</v>
      </c>
      <c r="M483" s="14">
        <f>InputData[[#This Row],[SELLING PRICE]]*InputData[[#This Row],[QUANTITY]]*(1-InputData[[#This Row],[DISCOUNT %]])</f>
        <v>671</v>
      </c>
      <c r="N483" s="12">
        <f>DAY(InputData[[#This Row],[DATE]])</f>
        <v>3</v>
      </c>
      <c r="O483" s="12" t="str">
        <f>TEXT(InputData[[#This Row],[DATE]],"mmm")</f>
        <v>Nov</v>
      </c>
      <c r="P483" s="12">
        <f>YEAR(InputData[[#This Row],[DATE]])</f>
        <v>2022</v>
      </c>
      <c r="Q483" s="12"/>
    </row>
    <row r="484" spans="1:17" x14ac:dyDescent="0.3">
      <c r="A484" s="10">
        <v>44869</v>
      </c>
      <c r="B484" s="11" t="s">
        <v>22</v>
      </c>
      <c r="C484" s="12">
        <v>10</v>
      </c>
      <c r="D484" s="12" t="s">
        <v>108</v>
      </c>
      <c r="E484" s="12" t="s">
        <v>106</v>
      </c>
      <c r="F484" s="13">
        <v>0</v>
      </c>
      <c r="G484" s="12" t="str">
        <f>VLOOKUP(InputData[[#This Row],[PRODUCT ID]],MasterData[],2,0)</f>
        <v>Product08</v>
      </c>
      <c r="H484" s="12" t="str">
        <f>VLOOKUP(InputData[[#This Row],[PRODUCT ID]],MasterData[],3,0)</f>
        <v>Category01</v>
      </c>
      <c r="I484" s="12" t="str">
        <f>VLOOKUP(InputData[[#This Row],[PRODUCT ID]],MasterData[],4,0)</f>
        <v>Kg</v>
      </c>
      <c r="J484" s="14">
        <f>VLOOKUP(InputData[[#This Row],[PRODUCT ID]],MasterData[],5,0)</f>
        <v>83</v>
      </c>
      <c r="K484" s="14">
        <f>VLOOKUP(InputData[[#This Row],[PRODUCT ID]],MasterData[],5,0)</f>
        <v>83</v>
      </c>
      <c r="L484" s="14">
        <f>InputData[[#This Row],[BUYING PRIZE]]*InputData[[#This Row],[QUANTITY]]</f>
        <v>830</v>
      </c>
      <c r="M484" s="14">
        <f>InputData[[#This Row],[SELLING PRICE]]*InputData[[#This Row],[QUANTITY]]*(1-InputData[[#This Row],[DISCOUNT %]])</f>
        <v>830</v>
      </c>
      <c r="N484" s="12">
        <f>DAY(InputData[[#This Row],[DATE]])</f>
        <v>4</v>
      </c>
      <c r="O484" s="12" t="str">
        <f>TEXT(InputData[[#This Row],[DATE]],"mmm")</f>
        <v>Nov</v>
      </c>
      <c r="P484" s="12">
        <f>YEAR(InputData[[#This Row],[DATE]])</f>
        <v>2022</v>
      </c>
      <c r="Q484" s="12"/>
    </row>
    <row r="485" spans="1:17" x14ac:dyDescent="0.3">
      <c r="A485" s="10">
        <v>44870</v>
      </c>
      <c r="B485" s="11" t="s">
        <v>45</v>
      </c>
      <c r="C485" s="12">
        <v>15</v>
      </c>
      <c r="D485" s="12" t="s">
        <v>108</v>
      </c>
      <c r="E485" s="12" t="s">
        <v>107</v>
      </c>
      <c r="F485" s="13">
        <v>0</v>
      </c>
      <c r="G485" s="12" t="str">
        <f>VLOOKUP(InputData[[#This Row],[PRODUCT ID]],MasterData[],2,0)</f>
        <v>Product19</v>
      </c>
      <c r="H485" s="12" t="str">
        <f>VLOOKUP(InputData[[#This Row],[PRODUCT ID]],MasterData[],3,0)</f>
        <v>Category02</v>
      </c>
      <c r="I485" s="12" t="str">
        <f>VLOOKUP(InputData[[#This Row],[PRODUCT ID]],MasterData[],4,0)</f>
        <v>Ft</v>
      </c>
      <c r="J485" s="14">
        <f>VLOOKUP(InputData[[#This Row],[PRODUCT ID]],MasterData[],5,0)</f>
        <v>150</v>
      </c>
      <c r="K485" s="14">
        <f>VLOOKUP(InputData[[#This Row],[PRODUCT ID]],MasterData[],5,0)</f>
        <v>150</v>
      </c>
      <c r="L485" s="14">
        <f>InputData[[#This Row],[BUYING PRIZE]]*InputData[[#This Row],[QUANTITY]]</f>
        <v>2250</v>
      </c>
      <c r="M485" s="14">
        <f>InputData[[#This Row],[SELLING PRICE]]*InputData[[#This Row],[QUANTITY]]*(1-InputData[[#This Row],[DISCOUNT %]])</f>
        <v>2250</v>
      </c>
      <c r="N485" s="12">
        <f>DAY(InputData[[#This Row],[DATE]])</f>
        <v>5</v>
      </c>
      <c r="O485" s="12" t="str">
        <f>TEXT(InputData[[#This Row],[DATE]],"mmm")</f>
        <v>Nov</v>
      </c>
      <c r="P485" s="12">
        <f>YEAR(InputData[[#This Row],[DATE]])</f>
        <v>2022</v>
      </c>
      <c r="Q485" s="12"/>
    </row>
    <row r="486" spans="1:17" x14ac:dyDescent="0.3">
      <c r="A486" s="10">
        <v>44871</v>
      </c>
      <c r="B486" s="11" t="s">
        <v>96</v>
      </c>
      <c r="C486" s="12">
        <v>13</v>
      </c>
      <c r="D486" s="12" t="s">
        <v>108</v>
      </c>
      <c r="E486" s="12" t="s">
        <v>107</v>
      </c>
      <c r="F486" s="13">
        <v>0</v>
      </c>
      <c r="G486" s="12" t="str">
        <f>VLOOKUP(InputData[[#This Row],[PRODUCT ID]],MasterData[],2,0)</f>
        <v>Product43</v>
      </c>
      <c r="H486" s="12" t="str">
        <f>VLOOKUP(InputData[[#This Row],[PRODUCT ID]],MasterData[],3,0)</f>
        <v>Category05</v>
      </c>
      <c r="I486" s="12" t="str">
        <f>VLOOKUP(InputData[[#This Row],[PRODUCT ID]],MasterData[],4,0)</f>
        <v>Kg</v>
      </c>
      <c r="J486" s="14">
        <f>VLOOKUP(InputData[[#This Row],[PRODUCT ID]],MasterData[],5,0)</f>
        <v>67</v>
      </c>
      <c r="K486" s="14">
        <f>VLOOKUP(InputData[[#This Row],[PRODUCT ID]],MasterData[],5,0)</f>
        <v>67</v>
      </c>
      <c r="L486" s="14">
        <f>InputData[[#This Row],[BUYING PRIZE]]*InputData[[#This Row],[QUANTITY]]</f>
        <v>871</v>
      </c>
      <c r="M486" s="14">
        <f>InputData[[#This Row],[SELLING PRICE]]*InputData[[#This Row],[QUANTITY]]*(1-InputData[[#This Row],[DISCOUNT %]])</f>
        <v>871</v>
      </c>
      <c r="N486" s="12">
        <f>DAY(InputData[[#This Row],[DATE]])</f>
        <v>6</v>
      </c>
      <c r="O486" s="12" t="str">
        <f>TEXT(InputData[[#This Row],[DATE]],"mmm")</f>
        <v>Nov</v>
      </c>
      <c r="P486" s="12">
        <f>YEAR(InputData[[#This Row],[DATE]])</f>
        <v>2022</v>
      </c>
      <c r="Q486" s="12"/>
    </row>
    <row r="487" spans="1:17" x14ac:dyDescent="0.3">
      <c r="A487" s="10">
        <v>44871</v>
      </c>
      <c r="B487" s="11" t="s">
        <v>37</v>
      </c>
      <c r="C487" s="12">
        <v>13</v>
      </c>
      <c r="D487" s="12" t="s">
        <v>106</v>
      </c>
      <c r="E487" s="12" t="s">
        <v>106</v>
      </c>
      <c r="F487" s="13">
        <v>0</v>
      </c>
      <c r="G487" s="12" t="str">
        <f>VLOOKUP(InputData[[#This Row],[PRODUCT ID]],MasterData[],2,0)</f>
        <v>Product15</v>
      </c>
      <c r="H487" s="12" t="str">
        <f>VLOOKUP(InputData[[#This Row],[PRODUCT ID]],MasterData[],3,0)</f>
        <v>Category02</v>
      </c>
      <c r="I487" s="12" t="str">
        <f>VLOOKUP(InputData[[#This Row],[PRODUCT ID]],MasterData[],4,0)</f>
        <v>No.</v>
      </c>
      <c r="J487" s="14">
        <f>VLOOKUP(InputData[[#This Row],[PRODUCT ID]],MasterData[],5,0)</f>
        <v>12</v>
      </c>
      <c r="K487" s="14">
        <f>VLOOKUP(InputData[[#This Row],[PRODUCT ID]],MasterData[],5,0)</f>
        <v>12</v>
      </c>
      <c r="L487" s="14">
        <f>InputData[[#This Row],[BUYING PRIZE]]*InputData[[#This Row],[QUANTITY]]</f>
        <v>156</v>
      </c>
      <c r="M487" s="14">
        <f>InputData[[#This Row],[SELLING PRICE]]*InputData[[#This Row],[QUANTITY]]*(1-InputData[[#This Row],[DISCOUNT %]])</f>
        <v>156</v>
      </c>
      <c r="N487" s="12">
        <f>DAY(InputData[[#This Row],[DATE]])</f>
        <v>6</v>
      </c>
      <c r="O487" s="12" t="str">
        <f>TEXT(InputData[[#This Row],[DATE]],"mmm")</f>
        <v>Nov</v>
      </c>
      <c r="P487" s="12">
        <f>YEAR(InputData[[#This Row],[DATE]])</f>
        <v>2022</v>
      </c>
      <c r="Q487" s="12"/>
    </row>
    <row r="488" spans="1:17" x14ac:dyDescent="0.3">
      <c r="A488" s="10">
        <v>44871</v>
      </c>
      <c r="B488" s="11" t="s">
        <v>94</v>
      </c>
      <c r="C488" s="12">
        <v>13</v>
      </c>
      <c r="D488" s="12" t="s">
        <v>108</v>
      </c>
      <c r="E488" s="12" t="s">
        <v>107</v>
      </c>
      <c r="F488" s="13">
        <v>0</v>
      </c>
      <c r="G488" s="12" t="str">
        <f>VLOOKUP(InputData[[#This Row],[PRODUCT ID]],MasterData[],2,0)</f>
        <v>Product42</v>
      </c>
      <c r="H488" s="12" t="str">
        <f>VLOOKUP(InputData[[#This Row],[PRODUCT ID]],MasterData[],3,0)</f>
        <v>Category05</v>
      </c>
      <c r="I488" s="12" t="str">
        <f>VLOOKUP(InputData[[#This Row],[PRODUCT ID]],MasterData[],4,0)</f>
        <v>Ft</v>
      </c>
      <c r="J488" s="14">
        <f>VLOOKUP(InputData[[#This Row],[PRODUCT ID]],MasterData[],5,0)</f>
        <v>120</v>
      </c>
      <c r="K488" s="14">
        <f>VLOOKUP(InputData[[#This Row],[PRODUCT ID]],MasterData[],5,0)</f>
        <v>120</v>
      </c>
      <c r="L488" s="14">
        <f>InputData[[#This Row],[BUYING PRIZE]]*InputData[[#This Row],[QUANTITY]]</f>
        <v>1560</v>
      </c>
      <c r="M488" s="14">
        <f>InputData[[#This Row],[SELLING PRICE]]*InputData[[#This Row],[QUANTITY]]*(1-InputData[[#This Row],[DISCOUNT %]])</f>
        <v>1560</v>
      </c>
      <c r="N488" s="12">
        <f>DAY(InputData[[#This Row],[DATE]])</f>
        <v>6</v>
      </c>
      <c r="O488" s="12" t="str">
        <f>TEXT(InputData[[#This Row],[DATE]],"mmm")</f>
        <v>Nov</v>
      </c>
      <c r="P488" s="12">
        <f>YEAR(InputData[[#This Row],[DATE]])</f>
        <v>2022</v>
      </c>
      <c r="Q488" s="12"/>
    </row>
    <row r="489" spans="1:17" x14ac:dyDescent="0.3">
      <c r="A489" s="10">
        <v>44872</v>
      </c>
      <c r="B489" s="11" t="s">
        <v>90</v>
      </c>
      <c r="C489" s="12">
        <v>13</v>
      </c>
      <c r="D489" s="12" t="s">
        <v>106</v>
      </c>
      <c r="E489" s="12" t="s">
        <v>107</v>
      </c>
      <c r="F489" s="13">
        <v>0</v>
      </c>
      <c r="G489" s="12" t="str">
        <f>VLOOKUP(InputData[[#This Row],[PRODUCT ID]],MasterData[],2,0)</f>
        <v>Product40</v>
      </c>
      <c r="H489" s="12" t="str">
        <f>VLOOKUP(InputData[[#This Row],[PRODUCT ID]],MasterData[],3,0)</f>
        <v>Category05</v>
      </c>
      <c r="I489" s="12" t="str">
        <f>VLOOKUP(InputData[[#This Row],[PRODUCT ID]],MasterData[],4,0)</f>
        <v>Kg</v>
      </c>
      <c r="J489" s="14">
        <f>VLOOKUP(InputData[[#This Row],[PRODUCT ID]],MasterData[],5,0)</f>
        <v>90</v>
      </c>
      <c r="K489" s="14">
        <f>VLOOKUP(InputData[[#This Row],[PRODUCT ID]],MasterData[],5,0)</f>
        <v>90</v>
      </c>
      <c r="L489" s="14">
        <f>InputData[[#This Row],[BUYING PRIZE]]*InputData[[#This Row],[QUANTITY]]</f>
        <v>1170</v>
      </c>
      <c r="M489" s="14">
        <f>InputData[[#This Row],[SELLING PRICE]]*InputData[[#This Row],[QUANTITY]]*(1-InputData[[#This Row],[DISCOUNT %]])</f>
        <v>1170</v>
      </c>
      <c r="N489" s="12">
        <f>DAY(InputData[[#This Row],[DATE]])</f>
        <v>7</v>
      </c>
      <c r="O489" s="12" t="str">
        <f>TEXT(InputData[[#This Row],[DATE]],"mmm")</f>
        <v>Nov</v>
      </c>
      <c r="P489" s="12">
        <f>YEAR(InputData[[#This Row],[DATE]])</f>
        <v>2022</v>
      </c>
      <c r="Q489" s="12"/>
    </row>
    <row r="490" spans="1:17" x14ac:dyDescent="0.3">
      <c r="A490" s="10">
        <v>44873</v>
      </c>
      <c r="B490" s="11" t="s">
        <v>81</v>
      </c>
      <c r="C490" s="12">
        <v>11</v>
      </c>
      <c r="D490" s="12" t="s">
        <v>105</v>
      </c>
      <c r="E490" s="12" t="s">
        <v>107</v>
      </c>
      <c r="F490" s="13">
        <v>0</v>
      </c>
      <c r="G490" s="12" t="str">
        <f>VLOOKUP(InputData[[#This Row],[PRODUCT ID]],MasterData[],2,0)</f>
        <v>Product36</v>
      </c>
      <c r="H490" s="12" t="str">
        <f>VLOOKUP(InputData[[#This Row],[PRODUCT ID]],MasterData[],3,0)</f>
        <v>Category04</v>
      </c>
      <c r="I490" s="12" t="str">
        <f>VLOOKUP(InputData[[#This Row],[PRODUCT ID]],MasterData[],4,0)</f>
        <v>Kg</v>
      </c>
      <c r="J490" s="14">
        <f>VLOOKUP(InputData[[#This Row],[PRODUCT ID]],MasterData[],5,0)</f>
        <v>90</v>
      </c>
      <c r="K490" s="14">
        <f>VLOOKUP(InputData[[#This Row],[PRODUCT ID]],MasterData[],5,0)</f>
        <v>90</v>
      </c>
      <c r="L490" s="14">
        <f>InputData[[#This Row],[BUYING PRIZE]]*InputData[[#This Row],[QUANTITY]]</f>
        <v>990</v>
      </c>
      <c r="M490" s="14">
        <f>InputData[[#This Row],[SELLING PRICE]]*InputData[[#This Row],[QUANTITY]]*(1-InputData[[#This Row],[DISCOUNT %]])</f>
        <v>990</v>
      </c>
      <c r="N490" s="12">
        <f>DAY(InputData[[#This Row],[DATE]])</f>
        <v>8</v>
      </c>
      <c r="O490" s="12" t="str">
        <f>TEXT(InputData[[#This Row],[DATE]],"mmm")</f>
        <v>Nov</v>
      </c>
      <c r="P490" s="12">
        <f>YEAR(InputData[[#This Row],[DATE]])</f>
        <v>2022</v>
      </c>
      <c r="Q490" s="12"/>
    </row>
    <row r="491" spans="1:17" x14ac:dyDescent="0.3">
      <c r="A491" s="10">
        <v>44873</v>
      </c>
      <c r="B491" s="11" t="s">
        <v>45</v>
      </c>
      <c r="C491" s="12">
        <v>10</v>
      </c>
      <c r="D491" s="12" t="s">
        <v>105</v>
      </c>
      <c r="E491" s="12" t="s">
        <v>106</v>
      </c>
      <c r="F491" s="13">
        <v>0</v>
      </c>
      <c r="G491" s="12" t="str">
        <f>VLOOKUP(InputData[[#This Row],[PRODUCT ID]],MasterData[],2,0)</f>
        <v>Product19</v>
      </c>
      <c r="H491" s="12" t="str">
        <f>VLOOKUP(InputData[[#This Row],[PRODUCT ID]],MasterData[],3,0)</f>
        <v>Category02</v>
      </c>
      <c r="I491" s="12" t="str">
        <f>VLOOKUP(InputData[[#This Row],[PRODUCT ID]],MasterData[],4,0)</f>
        <v>Ft</v>
      </c>
      <c r="J491" s="14">
        <f>VLOOKUP(InputData[[#This Row],[PRODUCT ID]],MasterData[],5,0)</f>
        <v>150</v>
      </c>
      <c r="K491" s="14">
        <f>VLOOKUP(InputData[[#This Row],[PRODUCT ID]],MasterData[],5,0)</f>
        <v>150</v>
      </c>
      <c r="L491" s="14">
        <f>InputData[[#This Row],[BUYING PRIZE]]*InputData[[#This Row],[QUANTITY]]</f>
        <v>1500</v>
      </c>
      <c r="M491" s="14">
        <f>InputData[[#This Row],[SELLING PRICE]]*InputData[[#This Row],[QUANTITY]]*(1-InputData[[#This Row],[DISCOUNT %]])</f>
        <v>1500</v>
      </c>
      <c r="N491" s="12">
        <f>DAY(InputData[[#This Row],[DATE]])</f>
        <v>8</v>
      </c>
      <c r="O491" s="12" t="str">
        <f>TEXT(InputData[[#This Row],[DATE]],"mmm")</f>
        <v>Nov</v>
      </c>
      <c r="P491" s="12">
        <f>YEAR(InputData[[#This Row],[DATE]])</f>
        <v>2022</v>
      </c>
      <c r="Q491" s="12"/>
    </row>
    <row r="492" spans="1:17" x14ac:dyDescent="0.3">
      <c r="A492" s="10">
        <v>44874</v>
      </c>
      <c r="B492" s="11" t="s">
        <v>63</v>
      </c>
      <c r="C492" s="12">
        <v>8</v>
      </c>
      <c r="D492" s="12" t="s">
        <v>106</v>
      </c>
      <c r="E492" s="12" t="s">
        <v>107</v>
      </c>
      <c r="F492" s="13">
        <v>0</v>
      </c>
      <c r="G492" s="12" t="str">
        <f>VLOOKUP(InputData[[#This Row],[PRODUCT ID]],MasterData[],2,0)</f>
        <v>Product27</v>
      </c>
      <c r="H492" s="12" t="str">
        <f>VLOOKUP(InputData[[#This Row],[PRODUCT ID]],MasterData[],3,0)</f>
        <v>Category04</v>
      </c>
      <c r="I492" s="12" t="str">
        <f>VLOOKUP(InputData[[#This Row],[PRODUCT ID]],MasterData[],4,0)</f>
        <v>Lt</v>
      </c>
      <c r="J492" s="14">
        <f>VLOOKUP(InputData[[#This Row],[PRODUCT ID]],MasterData[],5,0)</f>
        <v>48</v>
      </c>
      <c r="K492" s="14">
        <f>VLOOKUP(InputData[[#This Row],[PRODUCT ID]],MasterData[],5,0)</f>
        <v>48</v>
      </c>
      <c r="L492" s="14">
        <f>InputData[[#This Row],[BUYING PRIZE]]*InputData[[#This Row],[QUANTITY]]</f>
        <v>384</v>
      </c>
      <c r="M492" s="14">
        <f>InputData[[#This Row],[SELLING PRICE]]*InputData[[#This Row],[QUANTITY]]*(1-InputData[[#This Row],[DISCOUNT %]])</f>
        <v>384</v>
      </c>
      <c r="N492" s="12">
        <f>DAY(InputData[[#This Row],[DATE]])</f>
        <v>9</v>
      </c>
      <c r="O492" s="12" t="str">
        <f>TEXT(InputData[[#This Row],[DATE]],"mmm")</f>
        <v>Nov</v>
      </c>
      <c r="P492" s="12">
        <f>YEAR(InputData[[#This Row],[DATE]])</f>
        <v>2022</v>
      </c>
      <c r="Q492" s="12"/>
    </row>
    <row r="493" spans="1:17" x14ac:dyDescent="0.3">
      <c r="A493" s="10">
        <v>44875</v>
      </c>
      <c r="B493" s="11" t="s">
        <v>43</v>
      </c>
      <c r="C493" s="12">
        <v>7</v>
      </c>
      <c r="D493" s="12" t="s">
        <v>108</v>
      </c>
      <c r="E493" s="12" t="s">
        <v>106</v>
      </c>
      <c r="F493" s="13">
        <v>0</v>
      </c>
      <c r="G493" s="12" t="str">
        <f>VLOOKUP(InputData[[#This Row],[PRODUCT ID]],MasterData[],2,0)</f>
        <v>Product18</v>
      </c>
      <c r="H493" s="12" t="str">
        <f>VLOOKUP(InputData[[#This Row],[PRODUCT ID]],MasterData[],3,0)</f>
        <v>Category02</v>
      </c>
      <c r="I493" s="12" t="str">
        <f>VLOOKUP(InputData[[#This Row],[PRODUCT ID]],MasterData[],4,0)</f>
        <v>No.</v>
      </c>
      <c r="J493" s="14">
        <f>VLOOKUP(InputData[[#This Row],[PRODUCT ID]],MasterData[],5,0)</f>
        <v>37</v>
      </c>
      <c r="K493" s="14">
        <f>VLOOKUP(InputData[[#This Row],[PRODUCT ID]],MasterData[],5,0)</f>
        <v>37</v>
      </c>
      <c r="L493" s="14">
        <f>InputData[[#This Row],[BUYING PRIZE]]*InputData[[#This Row],[QUANTITY]]</f>
        <v>259</v>
      </c>
      <c r="M493" s="14">
        <f>InputData[[#This Row],[SELLING PRICE]]*InputData[[#This Row],[QUANTITY]]*(1-InputData[[#This Row],[DISCOUNT %]])</f>
        <v>259</v>
      </c>
      <c r="N493" s="12">
        <f>DAY(InputData[[#This Row],[DATE]])</f>
        <v>10</v>
      </c>
      <c r="O493" s="12" t="str">
        <f>TEXT(InputData[[#This Row],[DATE]],"mmm")</f>
        <v>Nov</v>
      </c>
      <c r="P493" s="12">
        <f>YEAR(InputData[[#This Row],[DATE]])</f>
        <v>2022</v>
      </c>
      <c r="Q493" s="12"/>
    </row>
    <row r="494" spans="1:17" x14ac:dyDescent="0.3">
      <c r="A494" s="10">
        <v>44878</v>
      </c>
      <c r="B494" s="11" t="s">
        <v>63</v>
      </c>
      <c r="C494" s="12">
        <v>10</v>
      </c>
      <c r="D494" s="12" t="s">
        <v>105</v>
      </c>
      <c r="E494" s="12" t="s">
        <v>107</v>
      </c>
      <c r="F494" s="13">
        <v>0</v>
      </c>
      <c r="G494" s="12" t="str">
        <f>VLOOKUP(InputData[[#This Row],[PRODUCT ID]],MasterData[],2,0)</f>
        <v>Product27</v>
      </c>
      <c r="H494" s="12" t="str">
        <f>VLOOKUP(InputData[[#This Row],[PRODUCT ID]],MasterData[],3,0)</f>
        <v>Category04</v>
      </c>
      <c r="I494" s="12" t="str">
        <f>VLOOKUP(InputData[[#This Row],[PRODUCT ID]],MasterData[],4,0)</f>
        <v>Lt</v>
      </c>
      <c r="J494" s="14">
        <f>VLOOKUP(InputData[[#This Row],[PRODUCT ID]],MasterData[],5,0)</f>
        <v>48</v>
      </c>
      <c r="K494" s="14">
        <f>VLOOKUP(InputData[[#This Row],[PRODUCT ID]],MasterData[],5,0)</f>
        <v>48</v>
      </c>
      <c r="L494" s="14">
        <f>InputData[[#This Row],[BUYING PRIZE]]*InputData[[#This Row],[QUANTITY]]</f>
        <v>480</v>
      </c>
      <c r="M494" s="14">
        <f>InputData[[#This Row],[SELLING PRICE]]*InputData[[#This Row],[QUANTITY]]*(1-InputData[[#This Row],[DISCOUNT %]])</f>
        <v>480</v>
      </c>
      <c r="N494" s="12">
        <f>DAY(InputData[[#This Row],[DATE]])</f>
        <v>13</v>
      </c>
      <c r="O494" s="12" t="str">
        <f>TEXT(InputData[[#This Row],[DATE]],"mmm")</f>
        <v>Nov</v>
      </c>
      <c r="P494" s="12">
        <f>YEAR(InputData[[#This Row],[DATE]])</f>
        <v>2022</v>
      </c>
      <c r="Q494" s="12"/>
    </row>
    <row r="495" spans="1:17" x14ac:dyDescent="0.3">
      <c r="A495" s="10">
        <v>44879</v>
      </c>
      <c r="B495" s="11" t="s">
        <v>10</v>
      </c>
      <c r="C495" s="12">
        <v>1</v>
      </c>
      <c r="D495" s="12" t="s">
        <v>108</v>
      </c>
      <c r="E495" s="12" t="s">
        <v>107</v>
      </c>
      <c r="F495" s="13">
        <v>0</v>
      </c>
      <c r="G495" s="12" t="str">
        <f>VLOOKUP(InputData[[#This Row],[PRODUCT ID]],MasterData[],2,0)</f>
        <v>Product02</v>
      </c>
      <c r="H495" s="12" t="str">
        <f>VLOOKUP(InputData[[#This Row],[PRODUCT ID]],MasterData[],3,0)</f>
        <v>Category01</v>
      </c>
      <c r="I495" s="12" t="str">
        <f>VLOOKUP(InputData[[#This Row],[PRODUCT ID]],MasterData[],4,0)</f>
        <v>Kg</v>
      </c>
      <c r="J495" s="14">
        <f>VLOOKUP(InputData[[#This Row],[PRODUCT ID]],MasterData[],5,0)</f>
        <v>105</v>
      </c>
      <c r="K495" s="14">
        <f>VLOOKUP(InputData[[#This Row],[PRODUCT ID]],MasterData[],5,0)</f>
        <v>105</v>
      </c>
      <c r="L495" s="14">
        <f>InputData[[#This Row],[BUYING PRIZE]]*InputData[[#This Row],[QUANTITY]]</f>
        <v>105</v>
      </c>
      <c r="M495" s="14">
        <f>InputData[[#This Row],[SELLING PRICE]]*InputData[[#This Row],[QUANTITY]]*(1-InputData[[#This Row],[DISCOUNT %]])</f>
        <v>105</v>
      </c>
      <c r="N495" s="12">
        <f>DAY(InputData[[#This Row],[DATE]])</f>
        <v>14</v>
      </c>
      <c r="O495" s="12" t="str">
        <f>TEXT(InputData[[#This Row],[DATE]],"mmm")</f>
        <v>Nov</v>
      </c>
      <c r="P495" s="12">
        <f>YEAR(InputData[[#This Row],[DATE]])</f>
        <v>2022</v>
      </c>
      <c r="Q495" s="12"/>
    </row>
    <row r="496" spans="1:17" x14ac:dyDescent="0.3">
      <c r="A496" s="10">
        <v>44880</v>
      </c>
      <c r="B496" s="11" t="s">
        <v>31</v>
      </c>
      <c r="C496" s="12">
        <v>14</v>
      </c>
      <c r="D496" s="12" t="s">
        <v>108</v>
      </c>
      <c r="E496" s="12" t="s">
        <v>107</v>
      </c>
      <c r="F496" s="13">
        <v>0</v>
      </c>
      <c r="G496" s="12" t="str">
        <f>VLOOKUP(InputData[[#This Row],[PRODUCT ID]],MasterData[],2,0)</f>
        <v>Product12</v>
      </c>
      <c r="H496" s="12" t="str">
        <f>VLOOKUP(InputData[[#This Row],[PRODUCT ID]],MasterData[],3,0)</f>
        <v>Category02</v>
      </c>
      <c r="I496" s="12" t="str">
        <f>VLOOKUP(InputData[[#This Row],[PRODUCT ID]],MasterData[],4,0)</f>
        <v>Kg</v>
      </c>
      <c r="J496" s="14">
        <f>VLOOKUP(InputData[[#This Row],[PRODUCT ID]],MasterData[],5,0)</f>
        <v>73</v>
      </c>
      <c r="K496" s="14">
        <f>VLOOKUP(InputData[[#This Row],[PRODUCT ID]],MasterData[],5,0)</f>
        <v>73</v>
      </c>
      <c r="L496" s="14">
        <f>InputData[[#This Row],[BUYING PRIZE]]*InputData[[#This Row],[QUANTITY]]</f>
        <v>1022</v>
      </c>
      <c r="M496" s="14">
        <f>InputData[[#This Row],[SELLING PRICE]]*InputData[[#This Row],[QUANTITY]]*(1-InputData[[#This Row],[DISCOUNT %]])</f>
        <v>1022</v>
      </c>
      <c r="N496" s="12">
        <f>DAY(InputData[[#This Row],[DATE]])</f>
        <v>15</v>
      </c>
      <c r="O496" s="12" t="str">
        <f>TEXT(InputData[[#This Row],[DATE]],"mmm")</f>
        <v>Nov</v>
      </c>
      <c r="P496" s="12">
        <f>YEAR(InputData[[#This Row],[DATE]])</f>
        <v>2022</v>
      </c>
      <c r="Q496" s="12"/>
    </row>
    <row r="497" spans="1:17" x14ac:dyDescent="0.3">
      <c r="A497" s="10">
        <v>44881</v>
      </c>
      <c r="B497" s="11" t="s">
        <v>41</v>
      </c>
      <c r="C497" s="12">
        <v>8</v>
      </c>
      <c r="D497" s="12" t="s">
        <v>106</v>
      </c>
      <c r="E497" s="12" t="s">
        <v>106</v>
      </c>
      <c r="F497" s="13">
        <v>0</v>
      </c>
      <c r="G497" s="12" t="str">
        <f>VLOOKUP(InputData[[#This Row],[PRODUCT ID]],MasterData[],2,0)</f>
        <v>Product17</v>
      </c>
      <c r="H497" s="12" t="str">
        <f>VLOOKUP(InputData[[#This Row],[PRODUCT ID]],MasterData[],3,0)</f>
        <v>Category02</v>
      </c>
      <c r="I497" s="12" t="str">
        <f>VLOOKUP(InputData[[#This Row],[PRODUCT ID]],MasterData[],4,0)</f>
        <v>Ft</v>
      </c>
      <c r="J497" s="14">
        <f>VLOOKUP(InputData[[#This Row],[PRODUCT ID]],MasterData[],5,0)</f>
        <v>134</v>
      </c>
      <c r="K497" s="14">
        <f>VLOOKUP(InputData[[#This Row],[PRODUCT ID]],MasterData[],5,0)</f>
        <v>134</v>
      </c>
      <c r="L497" s="14">
        <f>InputData[[#This Row],[BUYING PRIZE]]*InputData[[#This Row],[QUANTITY]]</f>
        <v>1072</v>
      </c>
      <c r="M497" s="14">
        <f>InputData[[#This Row],[SELLING PRICE]]*InputData[[#This Row],[QUANTITY]]*(1-InputData[[#This Row],[DISCOUNT %]])</f>
        <v>1072</v>
      </c>
      <c r="N497" s="12">
        <f>DAY(InputData[[#This Row],[DATE]])</f>
        <v>16</v>
      </c>
      <c r="O497" s="12" t="str">
        <f>TEXT(InputData[[#This Row],[DATE]],"mmm")</f>
        <v>Nov</v>
      </c>
      <c r="P497" s="12">
        <f>YEAR(InputData[[#This Row],[DATE]])</f>
        <v>2022</v>
      </c>
      <c r="Q497" s="12"/>
    </row>
    <row r="498" spans="1:17" x14ac:dyDescent="0.3">
      <c r="A498" s="10">
        <v>44883</v>
      </c>
      <c r="B498" s="11" t="s">
        <v>77</v>
      </c>
      <c r="C498" s="12">
        <v>8</v>
      </c>
      <c r="D498" s="12" t="s">
        <v>108</v>
      </c>
      <c r="E498" s="12" t="s">
        <v>107</v>
      </c>
      <c r="F498" s="13">
        <v>0</v>
      </c>
      <c r="G498" s="12" t="str">
        <f>VLOOKUP(InputData[[#This Row],[PRODUCT ID]],MasterData[],2,0)</f>
        <v>Product34</v>
      </c>
      <c r="H498" s="12" t="str">
        <f>VLOOKUP(InputData[[#This Row],[PRODUCT ID]],MasterData[],3,0)</f>
        <v>Category04</v>
      </c>
      <c r="I498" s="12" t="str">
        <f>VLOOKUP(InputData[[#This Row],[PRODUCT ID]],MasterData[],4,0)</f>
        <v>Lt</v>
      </c>
      <c r="J498" s="14">
        <f>VLOOKUP(InputData[[#This Row],[PRODUCT ID]],MasterData[],5,0)</f>
        <v>55</v>
      </c>
      <c r="K498" s="14">
        <f>VLOOKUP(InputData[[#This Row],[PRODUCT ID]],MasterData[],5,0)</f>
        <v>55</v>
      </c>
      <c r="L498" s="14">
        <f>InputData[[#This Row],[BUYING PRIZE]]*InputData[[#This Row],[QUANTITY]]</f>
        <v>440</v>
      </c>
      <c r="M498" s="14">
        <f>InputData[[#This Row],[SELLING PRICE]]*InputData[[#This Row],[QUANTITY]]*(1-InputData[[#This Row],[DISCOUNT %]])</f>
        <v>440</v>
      </c>
      <c r="N498" s="12">
        <f>DAY(InputData[[#This Row],[DATE]])</f>
        <v>18</v>
      </c>
      <c r="O498" s="12" t="str">
        <f>TEXT(InputData[[#This Row],[DATE]],"mmm")</f>
        <v>Nov</v>
      </c>
      <c r="P498" s="12">
        <f>YEAR(InputData[[#This Row],[DATE]])</f>
        <v>2022</v>
      </c>
      <c r="Q498" s="12"/>
    </row>
    <row r="499" spans="1:17" x14ac:dyDescent="0.3">
      <c r="A499" s="10">
        <v>44886</v>
      </c>
      <c r="B499" s="11" t="s">
        <v>47</v>
      </c>
      <c r="C499" s="12">
        <v>6</v>
      </c>
      <c r="D499" s="12" t="s">
        <v>108</v>
      </c>
      <c r="E499" s="12" t="s">
        <v>107</v>
      </c>
      <c r="F499" s="13">
        <v>0</v>
      </c>
      <c r="G499" s="12" t="str">
        <f>VLOOKUP(InputData[[#This Row],[PRODUCT ID]],MasterData[],2,0)</f>
        <v>Product20</v>
      </c>
      <c r="H499" s="12" t="str">
        <f>VLOOKUP(InputData[[#This Row],[PRODUCT ID]],MasterData[],3,0)</f>
        <v>Category03</v>
      </c>
      <c r="I499" s="12" t="str">
        <f>VLOOKUP(InputData[[#This Row],[PRODUCT ID]],MasterData[],4,0)</f>
        <v>Lt</v>
      </c>
      <c r="J499" s="14">
        <f>VLOOKUP(InputData[[#This Row],[PRODUCT ID]],MasterData[],5,0)</f>
        <v>61</v>
      </c>
      <c r="K499" s="14">
        <f>VLOOKUP(InputData[[#This Row],[PRODUCT ID]],MasterData[],5,0)</f>
        <v>61</v>
      </c>
      <c r="L499" s="14">
        <f>InputData[[#This Row],[BUYING PRIZE]]*InputData[[#This Row],[QUANTITY]]</f>
        <v>366</v>
      </c>
      <c r="M499" s="14">
        <f>InputData[[#This Row],[SELLING PRICE]]*InputData[[#This Row],[QUANTITY]]*(1-InputData[[#This Row],[DISCOUNT %]])</f>
        <v>366</v>
      </c>
      <c r="N499" s="12">
        <f>DAY(InputData[[#This Row],[DATE]])</f>
        <v>21</v>
      </c>
      <c r="O499" s="12" t="str">
        <f>TEXT(InputData[[#This Row],[DATE]],"mmm")</f>
        <v>Nov</v>
      </c>
      <c r="P499" s="12">
        <f>YEAR(InputData[[#This Row],[DATE]])</f>
        <v>2022</v>
      </c>
      <c r="Q499" s="12"/>
    </row>
    <row r="500" spans="1:17" x14ac:dyDescent="0.3">
      <c r="A500" s="10">
        <v>44888</v>
      </c>
      <c r="B500" s="11" t="s">
        <v>81</v>
      </c>
      <c r="C500" s="12">
        <v>12</v>
      </c>
      <c r="D500" s="12" t="s">
        <v>106</v>
      </c>
      <c r="E500" s="12" t="s">
        <v>106</v>
      </c>
      <c r="F500" s="13">
        <v>0</v>
      </c>
      <c r="G500" s="12" t="str">
        <f>VLOOKUP(InputData[[#This Row],[PRODUCT ID]],MasterData[],2,0)</f>
        <v>Product36</v>
      </c>
      <c r="H500" s="12" t="str">
        <f>VLOOKUP(InputData[[#This Row],[PRODUCT ID]],MasterData[],3,0)</f>
        <v>Category04</v>
      </c>
      <c r="I500" s="12" t="str">
        <f>VLOOKUP(InputData[[#This Row],[PRODUCT ID]],MasterData[],4,0)</f>
        <v>Kg</v>
      </c>
      <c r="J500" s="14">
        <f>VLOOKUP(InputData[[#This Row],[PRODUCT ID]],MasterData[],5,0)</f>
        <v>90</v>
      </c>
      <c r="K500" s="14">
        <f>VLOOKUP(InputData[[#This Row],[PRODUCT ID]],MasterData[],5,0)</f>
        <v>90</v>
      </c>
      <c r="L500" s="14">
        <f>InputData[[#This Row],[BUYING PRIZE]]*InputData[[#This Row],[QUANTITY]]</f>
        <v>1080</v>
      </c>
      <c r="M500" s="14">
        <f>InputData[[#This Row],[SELLING PRICE]]*InputData[[#This Row],[QUANTITY]]*(1-InputData[[#This Row],[DISCOUNT %]])</f>
        <v>1080</v>
      </c>
      <c r="N500" s="12">
        <f>DAY(InputData[[#This Row],[DATE]])</f>
        <v>23</v>
      </c>
      <c r="O500" s="12" t="str">
        <f>TEXT(InputData[[#This Row],[DATE]],"mmm")</f>
        <v>Nov</v>
      </c>
      <c r="P500" s="12">
        <f>YEAR(InputData[[#This Row],[DATE]])</f>
        <v>2022</v>
      </c>
      <c r="Q500" s="12"/>
    </row>
    <row r="501" spans="1:17" x14ac:dyDescent="0.3">
      <c r="A501" s="10">
        <v>44890</v>
      </c>
      <c r="B501" s="11" t="s">
        <v>14</v>
      </c>
      <c r="C501" s="12">
        <v>5</v>
      </c>
      <c r="D501" s="12" t="s">
        <v>108</v>
      </c>
      <c r="E501" s="12" t="s">
        <v>107</v>
      </c>
      <c r="F501" s="13">
        <v>0</v>
      </c>
      <c r="G501" s="12" t="str">
        <f>VLOOKUP(InputData[[#This Row],[PRODUCT ID]],MasterData[],2,0)</f>
        <v>Product04</v>
      </c>
      <c r="H501" s="12" t="str">
        <f>VLOOKUP(InputData[[#This Row],[PRODUCT ID]],MasterData[],3,0)</f>
        <v>Category01</v>
      </c>
      <c r="I501" s="12" t="str">
        <f>VLOOKUP(InputData[[#This Row],[PRODUCT ID]],MasterData[],4,0)</f>
        <v>Lt</v>
      </c>
      <c r="J501" s="14">
        <f>VLOOKUP(InputData[[#This Row],[PRODUCT ID]],MasterData[],5,0)</f>
        <v>44</v>
      </c>
      <c r="K501" s="14">
        <f>VLOOKUP(InputData[[#This Row],[PRODUCT ID]],MasterData[],5,0)</f>
        <v>44</v>
      </c>
      <c r="L501" s="14">
        <f>InputData[[#This Row],[BUYING PRIZE]]*InputData[[#This Row],[QUANTITY]]</f>
        <v>220</v>
      </c>
      <c r="M501" s="14">
        <f>InputData[[#This Row],[SELLING PRICE]]*InputData[[#This Row],[QUANTITY]]*(1-InputData[[#This Row],[DISCOUNT %]])</f>
        <v>220</v>
      </c>
      <c r="N501" s="12">
        <f>DAY(InputData[[#This Row],[DATE]])</f>
        <v>25</v>
      </c>
      <c r="O501" s="12" t="str">
        <f>TEXT(InputData[[#This Row],[DATE]],"mmm")</f>
        <v>Nov</v>
      </c>
      <c r="P501" s="12">
        <f>YEAR(InputData[[#This Row],[DATE]])</f>
        <v>2022</v>
      </c>
      <c r="Q501" s="12"/>
    </row>
    <row r="502" spans="1:17" x14ac:dyDescent="0.3">
      <c r="A502" s="10">
        <v>44891</v>
      </c>
      <c r="B502" s="11" t="s">
        <v>73</v>
      </c>
      <c r="C502" s="12">
        <v>5</v>
      </c>
      <c r="D502" s="12" t="s">
        <v>108</v>
      </c>
      <c r="E502" s="12" t="s">
        <v>106</v>
      </c>
      <c r="F502" s="13">
        <v>0</v>
      </c>
      <c r="G502" s="12" t="str">
        <f>VLOOKUP(InputData[[#This Row],[PRODUCT ID]],MasterData[],2,0)</f>
        <v>Product32</v>
      </c>
      <c r="H502" s="12" t="str">
        <f>VLOOKUP(InputData[[#This Row],[PRODUCT ID]],MasterData[],3,0)</f>
        <v>Category04</v>
      </c>
      <c r="I502" s="12" t="str">
        <f>VLOOKUP(InputData[[#This Row],[PRODUCT ID]],MasterData[],4,0)</f>
        <v>Kg</v>
      </c>
      <c r="J502" s="14">
        <f>VLOOKUP(InputData[[#This Row],[PRODUCT ID]],MasterData[],5,0)</f>
        <v>89</v>
      </c>
      <c r="K502" s="14">
        <f>VLOOKUP(InputData[[#This Row],[PRODUCT ID]],MasterData[],5,0)</f>
        <v>89</v>
      </c>
      <c r="L502" s="14">
        <f>InputData[[#This Row],[BUYING PRIZE]]*InputData[[#This Row],[QUANTITY]]</f>
        <v>445</v>
      </c>
      <c r="M502" s="14">
        <f>InputData[[#This Row],[SELLING PRICE]]*InputData[[#This Row],[QUANTITY]]*(1-InputData[[#This Row],[DISCOUNT %]])</f>
        <v>445</v>
      </c>
      <c r="N502" s="12">
        <f>DAY(InputData[[#This Row],[DATE]])</f>
        <v>26</v>
      </c>
      <c r="O502" s="12" t="str">
        <f>TEXT(InputData[[#This Row],[DATE]],"mmm")</f>
        <v>Nov</v>
      </c>
      <c r="P502" s="12">
        <f>YEAR(InputData[[#This Row],[DATE]])</f>
        <v>2022</v>
      </c>
      <c r="Q502" s="12"/>
    </row>
    <row r="503" spans="1:17" x14ac:dyDescent="0.3">
      <c r="A503" s="10">
        <v>44892</v>
      </c>
      <c r="B503" s="11" t="s">
        <v>77</v>
      </c>
      <c r="C503" s="12">
        <v>15</v>
      </c>
      <c r="D503" s="12" t="s">
        <v>108</v>
      </c>
      <c r="E503" s="12" t="s">
        <v>106</v>
      </c>
      <c r="F503" s="13">
        <v>0</v>
      </c>
      <c r="G503" s="12" t="str">
        <f>VLOOKUP(InputData[[#This Row],[PRODUCT ID]],MasterData[],2,0)</f>
        <v>Product34</v>
      </c>
      <c r="H503" s="12" t="str">
        <f>VLOOKUP(InputData[[#This Row],[PRODUCT ID]],MasterData[],3,0)</f>
        <v>Category04</v>
      </c>
      <c r="I503" s="12" t="str">
        <f>VLOOKUP(InputData[[#This Row],[PRODUCT ID]],MasterData[],4,0)</f>
        <v>Lt</v>
      </c>
      <c r="J503" s="14">
        <f>VLOOKUP(InputData[[#This Row],[PRODUCT ID]],MasterData[],5,0)</f>
        <v>55</v>
      </c>
      <c r="K503" s="14">
        <f>VLOOKUP(InputData[[#This Row],[PRODUCT ID]],MasterData[],5,0)</f>
        <v>55</v>
      </c>
      <c r="L503" s="14">
        <f>InputData[[#This Row],[BUYING PRIZE]]*InputData[[#This Row],[QUANTITY]]</f>
        <v>825</v>
      </c>
      <c r="M503" s="14">
        <f>InputData[[#This Row],[SELLING PRICE]]*InputData[[#This Row],[QUANTITY]]*(1-InputData[[#This Row],[DISCOUNT %]])</f>
        <v>825</v>
      </c>
      <c r="N503" s="12">
        <f>DAY(InputData[[#This Row],[DATE]])</f>
        <v>27</v>
      </c>
      <c r="O503" s="12" t="str">
        <f>TEXT(InputData[[#This Row],[DATE]],"mmm")</f>
        <v>Nov</v>
      </c>
      <c r="P503" s="12">
        <f>YEAR(InputData[[#This Row],[DATE]])</f>
        <v>2022</v>
      </c>
      <c r="Q503" s="12"/>
    </row>
    <row r="504" spans="1:17" x14ac:dyDescent="0.3">
      <c r="A504" s="10">
        <v>44893</v>
      </c>
      <c r="B504" s="11" t="s">
        <v>71</v>
      </c>
      <c r="C504" s="12">
        <v>8</v>
      </c>
      <c r="D504" s="12" t="s">
        <v>108</v>
      </c>
      <c r="E504" s="12" t="s">
        <v>107</v>
      </c>
      <c r="F504" s="13">
        <v>0</v>
      </c>
      <c r="G504" s="12" t="str">
        <f>VLOOKUP(InputData[[#This Row],[PRODUCT ID]],MasterData[],2,0)</f>
        <v>Product31</v>
      </c>
      <c r="H504" s="12" t="str">
        <f>VLOOKUP(InputData[[#This Row],[PRODUCT ID]],MasterData[],3,0)</f>
        <v>Category04</v>
      </c>
      <c r="I504" s="12" t="str">
        <f>VLOOKUP(InputData[[#This Row],[PRODUCT ID]],MasterData[],4,0)</f>
        <v>Kg</v>
      </c>
      <c r="J504" s="14">
        <f>VLOOKUP(InputData[[#This Row],[PRODUCT ID]],MasterData[],5,0)</f>
        <v>93</v>
      </c>
      <c r="K504" s="14">
        <f>VLOOKUP(InputData[[#This Row],[PRODUCT ID]],MasterData[],5,0)</f>
        <v>93</v>
      </c>
      <c r="L504" s="14">
        <f>InputData[[#This Row],[BUYING PRIZE]]*InputData[[#This Row],[QUANTITY]]</f>
        <v>744</v>
      </c>
      <c r="M504" s="14">
        <f>InputData[[#This Row],[SELLING PRICE]]*InputData[[#This Row],[QUANTITY]]*(1-InputData[[#This Row],[DISCOUNT %]])</f>
        <v>744</v>
      </c>
      <c r="N504" s="12">
        <f>DAY(InputData[[#This Row],[DATE]])</f>
        <v>28</v>
      </c>
      <c r="O504" s="12" t="str">
        <f>TEXT(InputData[[#This Row],[DATE]],"mmm")</f>
        <v>Nov</v>
      </c>
      <c r="P504" s="12">
        <f>YEAR(InputData[[#This Row],[DATE]])</f>
        <v>2022</v>
      </c>
      <c r="Q504" s="12"/>
    </row>
    <row r="505" spans="1:17" x14ac:dyDescent="0.3">
      <c r="A505" s="10">
        <v>44895</v>
      </c>
      <c r="B505" s="11" t="s">
        <v>37</v>
      </c>
      <c r="C505" s="12">
        <v>2</v>
      </c>
      <c r="D505" s="12" t="s">
        <v>108</v>
      </c>
      <c r="E505" s="12" t="s">
        <v>106</v>
      </c>
      <c r="F505" s="13">
        <v>0</v>
      </c>
      <c r="G505" s="12" t="str">
        <f>VLOOKUP(InputData[[#This Row],[PRODUCT ID]],MasterData[],2,0)</f>
        <v>Product15</v>
      </c>
      <c r="H505" s="12" t="str">
        <f>VLOOKUP(InputData[[#This Row],[PRODUCT ID]],MasterData[],3,0)</f>
        <v>Category02</v>
      </c>
      <c r="I505" s="12" t="str">
        <f>VLOOKUP(InputData[[#This Row],[PRODUCT ID]],MasterData[],4,0)</f>
        <v>No.</v>
      </c>
      <c r="J505" s="14">
        <f>VLOOKUP(InputData[[#This Row],[PRODUCT ID]],MasterData[],5,0)</f>
        <v>12</v>
      </c>
      <c r="K505" s="14">
        <f>VLOOKUP(InputData[[#This Row],[PRODUCT ID]],MasterData[],5,0)</f>
        <v>12</v>
      </c>
      <c r="L505" s="14">
        <f>InputData[[#This Row],[BUYING PRIZE]]*InputData[[#This Row],[QUANTITY]]</f>
        <v>24</v>
      </c>
      <c r="M505" s="14">
        <f>InputData[[#This Row],[SELLING PRICE]]*InputData[[#This Row],[QUANTITY]]*(1-InputData[[#This Row],[DISCOUNT %]])</f>
        <v>24</v>
      </c>
      <c r="N505" s="12">
        <f>DAY(InputData[[#This Row],[DATE]])</f>
        <v>30</v>
      </c>
      <c r="O505" s="12" t="str">
        <f>TEXT(InputData[[#This Row],[DATE]],"mmm")</f>
        <v>Nov</v>
      </c>
      <c r="P505" s="12">
        <f>YEAR(InputData[[#This Row],[DATE]])</f>
        <v>2022</v>
      </c>
      <c r="Q505" s="12"/>
    </row>
    <row r="506" spans="1:17" x14ac:dyDescent="0.3">
      <c r="A506" s="10">
        <v>44898</v>
      </c>
      <c r="B506" s="11" t="s">
        <v>65</v>
      </c>
      <c r="C506" s="12">
        <v>5</v>
      </c>
      <c r="D506" s="12" t="s">
        <v>105</v>
      </c>
      <c r="E506" s="12" t="s">
        <v>107</v>
      </c>
      <c r="F506" s="13">
        <v>0</v>
      </c>
      <c r="G506" s="12" t="str">
        <f>VLOOKUP(InputData[[#This Row],[PRODUCT ID]],MasterData[],2,0)</f>
        <v>Product28</v>
      </c>
      <c r="H506" s="12" t="str">
        <f>VLOOKUP(InputData[[#This Row],[PRODUCT ID]],MasterData[],3,0)</f>
        <v>Category04</v>
      </c>
      <c r="I506" s="12" t="str">
        <f>VLOOKUP(InputData[[#This Row],[PRODUCT ID]],MasterData[],4,0)</f>
        <v>No.</v>
      </c>
      <c r="J506" s="14">
        <f>VLOOKUP(InputData[[#This Row],[PRODUCT ID]],MasterData[],5,0)</f>
        <v>37</v>
      </c>
      <c r="K506" s="14">
        <f>VLOOKUP(InputData[[#This Row],[PRODUCT ID]],MasterData[],5,0)</f>
        <v>37</v>
      </c>
      <c r="L506" s="14">
        <f>InputData[[#This Row],[BUYING PRIZE]]*InputData[[#This Row],[QUANTITY]]</f>
        <v>185</v>
      </c>
      <c r="M506" s="14">
        <f>InputData[[#This Row],[SELLING PRICE]]*InputData[[#This Row],[QUANTITY]]*(1-InputData[[#This Row],[DISCOUNT %]])</f>
        <v>185</v>
      </c>
      <c r="N506" s="12">
        <f>DAY(InputData[[#This Row],[DATE]])</f>
        <v>3</v>
      </c>
      <c r="O506" s="12" t="str">
        <f>TEXT(InputData[[#This Row],[DATE]],"mmm")</f>
        <v>Dec</v>
      </c>
      <c r="P506" s="12">
        <f>YEAR(InputData[[#This Row],[DATE]])</f>
        <v>2022</v>
      </c>
      <c r="Q506" s="12"/>
    </row>
    <row r="507" spans="1:17" x14ac:dyDescent="0.3">
      <c r="A507" s="10">
        <v>44899</v>
      </c>
      <c r="B507" s="11" t="s">
        <v>60</v>
      </c>
      <c r="C507" s="12">
        <v>10</v>
      </c>
      <c r="D507" s="12" t="s">
        <v>108</v>
      </c>
      <c r="E507" s="12" t="s">
        <v>107</v>
      </c>
      <c r="F507" s="13">
        <v>0</v>
      </c>
      <c r="G507" s="12" t="str">
        <f>VLOOKUP(InputData[[#This Row],[PRODUCT ID]],MasterData[],2,0)</f>
        <v>Product26</v>
      </c>
      <c r="H507" s="12" t="str">
        <f>VLOOKUP(InputData[[#This Row],[PRODUCT ID]],MasterData[],3,0)</f>
        <v>Category04</v>
      </c>
      <c r="I507" s="12" t="str">
        <f>VLOOKUP(InputData[[#This Row],[PRODUCT ID]],MasterData[],4,0)</f>
        <v>No.</v>
      </c>
      <c r="J507" s="14">
        <f>VLOOKUP(InputData[[#This Row],[PRODUCT ID]],MasterData[],5,0)</f>
        <v>18</v>
      </c>
      <c r="K507" s="14">
        <f>VLOOKUP(InputData[[#This Row],[PRODUCT ID]],MasterData[],5,0)</f>
        <v>18</v>
      </c>
      <c r="L507" s="14">
        <f>InputData[[#This Row],[BUYING PRIZE]]*InputData[[#This Row],[QUANTITY]]</f>
        <v>180</v>
      </c>
      <c r="M507" s="14">
        <f>InputData[[#This Row],[SELLING PRICE]]*InputData[[#This Row],[QUANTITY]]*(1-InputData[[#This Row],[DISCOUNT %]])</f>
        <v>180</v>
      </c>
      <c r="N507" s="12">
        <f>DAY(InputData[[#This Row],[DATE]])</f>
        <v>4</v>
      </c>
      <c r="O507" s="12" t="str">
        <f>TEXT(InputData[[#This Row],[DATE]],"mmm")</f>
        <v>Dec</v>
      </c>
      <c r="P507" s="12">
        <f>YEAR(InputData[[#This Row],[DATE]])</f>
        <v>2022</v>
      </c>
      <c r="Q507" s="12"/>
    </row>
    <row r="508" spans="1:17" x14ac:dyDescent="0.3">
      <c r="A508" s="10">
        <v>44899</v>
      </c>
      <c r="B508" s="11" t="s">
        <v>98</v>
      </c>
      <c r="C508" s="12">
        <v>15</v>
      </c>
      <c r="D508" s="12" t="s">
        <v>108</v>
      </c>
      <c r="E508" s="12" t="s">
        <v>107</v>
      </c>
      <c r="F508" s="13">
        <v>0</v>
      </c>
      <c r="G508" s="12" t="str">
        <f>VLOOKUP(InputData[[#This Row],[PRODUCT ID]],MasterData[],2,0)</f>
        <v>Product44</v>
      </c>
      <c r="H508" s="12" t="str">
        <f>VLOOKUP(InputData[[#This Row],[PRODUCT ID]],MasterData[],3,0)</f>
        <v>Category05</v>
      </c>
      <c r="I508" s="12" t="str">
        <f>VLOOKUP(InputData[[#This Row],[PRODUCT ID]],MasterData[],4,0)</f>
        <v>Kg</v>
      </c>
      <c r="J508" s="14">
        <f>VLOOKUP(InputData[[#This Row],[PRODUCT ID]],MasterData[],5,0)</f>
        <v>76</v>
      </c>
      <c r="K508" s="14">
        <f>VLOOKUP(InputData[[#This Row],[PRODUCT ID]],MasterData[],5,0)</f>
        <v>76</v>
      </c>
      <c r="L508" s="14">
        <f>InputData[[#This Row],[BUYING PRIZE]]*InputData[[#This Row],[QUANTITY]]</f>
        <v>1140</v>
      </c>
      <c r="M508" s="14">
        <f>InputData[[#This Row],[SELLING PRICE]]*InputData[[#This Row],[QUANTITY]]*(1-InputData[[#This Row],[DISCOUNT %]])</f>
        <v>1140</v>
      </c>
      <c r="N508" s="12">
        <f>DAY(InputData[[#This Row],[DATE]])</f>
        <v>4</v>
      </c>
      <c r="O508" s="12" t="str">
        <f>TEXT(InputData[[#This Row],[DATE]],"mmm")</f>
        <v>Dec</v>
      </c>
      <c r="P508" s="12">
        <f>YEAR(InputData[[#This Row],[DATE]])</f>
        <v>2022</v>
      </c>
      <c r="Q508" s="12"/>
    </row>
    <row r="509" spans="1:17" x14ac:dyDescent="0.3">
      <c r="A509" s="10">
        <v>44902</v>
      </c>
      <c r="B509" s="11" t="s">
        <v>86</v>
      </c>
      <c r="C509" s="12">
        <v>12</v>
      </c>
      <c r="D509" s="12" t="s">
        <v>108</v>
      </c>
      <c r="E509" s="12" t="s">
        <v>107</v>
      </c>
      <c r="F509" s="13">
        <v>0</v>
      </c>
      <c r="G509" s="12" t="str">
        <f>VLOOKUP(InputData[[#This Row],[PRODUCT ID]],MasterData[],2,0)</f>
        <v>Product38</v>
      </c>
      <c r="H509" s="12" t="str">
        <f>VLOOKUP(InputData[[#This Row],[PRODUCT ID]],MasterData[],3,0)</f>
        <v>Category05</v>
      </c>
      <c r="I509" s="12" t="str">
        <f>VLOOKUP(InputData[[#This Row],[PRODUCT ID]],MasterData[],4,0)</f>
        <v>Kg</v>
      </c>
      <c r="J509" s="14">
        <f>VLOOKUP(InputData[[#This Row],[PRODUCT ID]],MasterData[],5,0)</f>
        <v>72</v>
      </c>
      <c r="K509" s="14">
        <f>VLOOKUP(InputData[[#This Row],[PRODUCT ID]],MasterData[],5,0)</f>
        <v>72</v>
      </c>
      <c r="L509" s="14">
        <f>InputData[[#This Row],[BUYING PRIZE]]*InputData[[#This Row],[QUANTITY]]</f>
        <v>864</v>
      </c>
      <c r="M509" s="14">
        <f>InputData[[#This Row],[SELLING PRICE]]*InputData[[#This Row],[QUANTITY]]*(1-InputData[[#This Row],[DISCOUNT %]])</f>
        <v>864</v>
      </c>
      <c r="N509" s="12">
        <f>DAY(InputData[[#This Row],[DATE]])</f>
        <v>7</v>
      </c>
      <c r="O509" s="12" t="str">
        <f>TEXT(InputData[[#This Row],[DATE]],"mmm")</f>
        <v>Dec</v>
      </c>
      <c r="P509" s="12">
        <f>YEAR(InputData[[#This Row],[DATE]])</f>
        <v>2022</v>
      </c>
      <c r="Q509" s="12"/>
    </row>
    <row r="510" spans="1:17" x14ac:dyDescent="0.3">
      <c r="A510" s="10">
        <v>44902</v>
      </c>
      <c r="B510" s="11" t="s">
        <v>39</v>
      </c>
      <c r="C510" s="12">
        <v>13</v>
      </c>
      <c r="D510" s="12" t="s">
        <v>108</v>
      </c>
      <c r="E510" s="12" t="s">
        <v>106</v>
      </c>
      <c r="F510" s="13">
        <v>0</v>
      </c>
      <c r="G510" s="12" t="str">
        <f>VLOOKUP(InputData[[#This Row],[PRODUCT ID]],MasterData[],2,0)</f>
        <v>Product16</v>
      </c>
      <c r="H510" s="12" t="str">
        <f>VLOOKUP(InputData[[#This Row],[PRODUCT ID]],MasterData[],3,0)</f>
        <v>Category02</v>
      </c>
      <c r="I510" s="12" t="str">
        <f>VLOOKUP(InputData[[#This Row],[PRODUCT ID]],MasterData[],4,0)</f>
        <v>No.</v>
      </c>
      <c r="J510" s="14">
        <f>VLOOKUP(InputData[[#This Row],[PRODUCT ID]],MasterData[],5,0)</f>
        <v>13</v>
      </c>
      <c r="K510" s="14">
        <f>VLOOKUP(InputData[[#This Row],[PRODUCT ID]],MasterData[],5,0)</f>
        <v>13</v>
      </c>
      <c r="L510" s="14">
        <f>InputData[[#This Row],[BUYING PRIZE]]*InputData[[#This Row],[QUANTITY]]</f>
        <v>169</v>
      </c>
      <c r="M510" s="14">
        <f>InputData[[#This Row],[SELLING PRICE]]*InputData[[#This Row],[QUANTITY]]*(1-InputData[[#This Row],[DISCOUNT %]])</f>
        <v>169</v>
      </c>
      <c r="N510" s="12">
        <f>DAY(InputData[[#This Row],[DATE]])</f>
        <v>7</v>
      </c>
      <c r="O510" s="12" t="str">
        <f>TEXT(InputData[[#This Row],[DATE]],"mmm")</f>
        <v>Dec</v>
      </c>
      <c r="P510" s="12">
        <f>YEAR(InputData[[#This Row],[DATE]])</f>
        <v>2022</v>
      </c>
      <c r="Q510" s="12"/>
    </row>
    <row r="511" spans="1:17" x14ac:dyDescent="0.3">
      <c r="A511" s="10">
        <v>44902</v>
      </c>
      <c r="B511" s="11" t="s">
        <v>86</v>
      </c>
      <c r="C511" s="12">
        <v>5</v>
      </c>
      <c r="D511" s="12" t="s">
        <v>108</v>
      </c>
      <c r="E511" s="12" t="s">
        <v>107</v>
      </c>
      <c r="F511" s="13">
        <v>0</v>
      </c>
      <c r="G511" s="12" t="str">
        <f>VLOOKUP(InputData[[#This Row],[PRODUCT ID]],MasterData[],2,0)</f>
        <v>Product38</v>
      </c>
      <c r="H511" s="12" t="str">
        <f>VLOOKUP(InputData[[#This Row],[PRODUCT ID]],MasterData[],3,0)</f>
        <v>Category05</v>
      </c>
      <c r="I511" s="12" t="str">
        <f>VLOOKUP(InputData[[#This Row],[PRODUCT ID]],MasterData[],4,0)</f>
        <v>Kg</v>
      </c>
      <c r="J511" s="14">
        <f>VLOOKUP(InputData[[#This Row],[PRODUCT ID]],MasterData[],5,0)</f>
        <v>72</v>
      </c>
      <c r="K511" s="14">
        <f>VLOOKUP(InputData[[#This Row],[PRODUCT ID]],MasterData[],5,0)</f>
        <v>72</v>
      </c>
      <c r="L511" s="14">
        <f>InputData[[#This Row],[BUYING PRIZE]]*InputData[[#This Row],[QUANTITY]]</f>
        <v>360</v>
      </c>
      <c r="M511" s="14">
        <f>InputData[[#This Row],[SELLING PRICE]]*InputData[[#This Row],[QUANTITY]]*(1-InputData[[#This Row],[DISCOUNT %]])</f>
        <v>360</v>
      </c>
      <c r="N511" s="12">
        <f>DAY(InputData[[#This Row],[DATE]])</f>
        <v>7</v>
      </c>
      <c r="O511" s="12" t="str">
        <f>TEXT(InputData[[#This Row],[DATE]],"mmm")</f>
        <v>Dec</v>
      </c>
      <c r="P511" s="12">
        <f>YEAR(InputData[[#This Row],[DATE]])</f>
        <v>2022</v>
      </c>
      <c r="Q511" s="12"/>
    </row>
    <row r="512" spans="1:17" x14ac:dyDescent="0.3">
      <c r="A512" s="10">
        <v>44906</v>
      </c>
      <c r="B512" s="11" t="s">
        <v>63</v>
      </c>
      <c r="C512" s="12">
        <v>5</v>
      </c>
      <c r="D512" s="12" t="s">
        <v>108</v>
      </c>
      <c r="E512" s="12" t="s">
        <v>106</v>
      </c>
      <c r="F512" s="13">
        <v>0</v>
      </c>
      <c r="G512" s="12" t="str">
        <f>VLOOKUP(InputData[[#This Row],[PRODUCT ID]],MasterData[],2,0)</f>
        <v>Product27</v>
      </c>
      <c r="H512" s="12" t="str">
        <f>VLOOKUP(InputData[[#This Row],[PRODUCT ID]],MasterData[],3,0)</f>
        <v>Category04</v>
      </c>
      <c r="I512" s="12" t="str">
        <f>VLOOKUP(InputData[[#This Row],[PRODUCT ID]],MasterData[],4,0)</f>
        <v>Lt</v>
      </c>
      <c r="J512" s="14">
        <f>VLOOKUP(InputData[[#This Row],[PRODUCT ID]],MasterData[],5,0)</f>
        <v>48</v>
      </c>
      <c r="K512" s="14">
        <f>VLOOKUP(InputData[[#This Row],[PRODUCT ID]],MasterData[],5,0)</f>
        <v>48</v>
      </c>
      <c r="L512" s="14">
        <f>InputData[[#This Row],[BUYING PRIZE]]*InputData[[#This Row],[QUANTITY]]</f>
        <v>240</v>
      </c>
      <c r="M512" s="14">
        <f>InputData[[#This Row],[SELLING PRICE]]*InputData[[#This Row],[QUANTITY]]*(1-InputData[[#This Row],[DISCOUNT %]])</f>
        <v>240</v>
      </c>
      <c r="N512" s="12">
        <f>DAY(InputData[[#This Row],[DATE]])</f>
        <v>11</v>
      </c>
      <c r="O512" s="12" t="str">
        <f>TEXT(InputData[[#This Row],[DATE]],"mmm")</f>
        <v>Dec</v>
      </c>
      <c r="P512" s="12">
        <f>YEAR(InputData[[#This Row],[DATE]])</f>
        <v>2022</v>
      </c>
      <c r="Q512" s="12"/>
    </row>
    <row r="513" spans="1:17" x14ac:dyDescent="0.3">
      <c r="A513" s="10">
        <v>44906</v>
      </c>
      <c r="B513" s="11" t="s">
        <v>33</v>
      </c>
      <c r="C513" s="12">
        <v>9</v>
      </c>
      <c r="D513" s="12" t="s">
        <v>105</v>
      </c>
      <c r="E513" s="12" t="s">
        <v>106</v>
      </c>
      <c r="F513" s="13">
        <v>0</v>
      </c>
      <c r="G513" s="12" t="str">
        <f>VLOOKUP(InputData[[#This Row],[PRODUCT ID]],MasterData[],2,0)</f>
        <v>Product13</v>
      </c>
      <c r="H513" s="12" t="str">
        <f>VLOOKUP(InputData[[#This Row],[PRODUCT ID]],MasterData[],3,0)</f>
        <v>Category02</v>
      </c>
      <c r="I513" s="12" t="str">
        <f>VLOOKUP(InputData[[#This Row],[PRODUCT ID]],MasterData[],4,0)</f>
        <v>Kg</v>
      </c>
      <c r="J513" s="14">
        <f>VLOOKUP(InputData[[#This Row],[PRODUCT ID]],MasterData[],5,0)</f>
        <v>112</v>
      </c>
      <c r="K513" s="14">
        <f>VLOOKUP(InputData[[#This Row],[PRODUCT ID]],MasterData[],5,0)</f>
        <v>112</v>
      </c>
      <c r="L513" s="14">
        <f>InputData[[#This Row],[BUYING PRIZE]]*InputData[[#This Row],[QUANTITY]]</f>
        <v>1008</v>
      </c>
      <c r="M513" s="14">
        <f>InputData[[#This Row],[SELLING PRICE]]*InputData[[#This Row],[QUANTITY]]*(1-InputData[[#This Row],[DISCOUNT %]])</f>
        <v>1008</v>
      </c>
      <c r="N513" s="12">
        <f>DAY(InputData[[#This Row],[DATE]])</f>
        <v>11</v>
      </c>
      <c r="O513" s="12" t="str">
        <f>TEXT(InputData[[#This Row],[DATE]],"mmm")</f>
        <v>Dec</v>
      </c>
      <c r="P513" s="12">
        <f>YEAR(InputData[[#This Row],[DATE]])</f>
        <v>2022</v>
      </c>
      <c r="Q513" s="12"/>
    </row>
    <row r="514" spans="1:17" x14ac:dyDescent="0.3">
      <c r="A514" s="10">
        <v>44906</v>
      </c>
      <c r="B514" s="11" t="s">
        <v>35</v>
      </c>
      <c r="C514" s="12">
        <v>10</v>
      </c>
      <c r="D514" s="12" t="s">
        <v>106</v>
      </c>
      <c r="E514" s="12" t="s">
        <v>107</v>
      </c>
      <c r="F514" s="13">
        <v>0</v>
      </c>
      <c r="G514" s="12" t="str">
        <f>VLOOKUP(InputData[[#This Row],[PRODUCT ID]],MasterData[],2,0)</f>
        <v>Product14</v>
      </c>
      <c r="H514" s="12" t="str">
        <f>VLOOKUP(InputData[[#This Row],[PRODUCT ID]],MasterData[],3,0)</f>
        <v>Category02</v>
      </c>
      <c r="I514" s="12" t="str">
        <f>VLOOKUP(InputData[[#This Row],[PRODUCT ID]],MasterData[],4,0)</f>
        <v>Kg</v>
      </c>
      <c r="J514" s="14">
        <f>VLOOKUP(InputData[[#This Row],[PRODUCT ID]],MasterData[],5,0)</f>
        <v>112</v>
      </c>
      <c r="K514" s="14">
        <f>VLOOKUP(InputData[[#This Row],[PRODUCT ID]],MasterData[],5,0)</f>
        <v>112</v>
      </c>
      <c r="L514" s="14">
        <f>InputData[[#This Row],[BUYING PRIZE]]*InputData[[#This Row],[QUANTITY]]</f>
        <v>1120</v>
      </c>
      <c r="M514" s="14">
        <f>InputData[[#This Row],[SELLING PRICE]]*InputData[[#This Row],[QUANTITY]]*(1-InputData[[#This Row],[DISCOUNT %]])</f>
        <v>1120</v>
      </c>
      <c r="N514" s="12">
        <f>DAY(InputData[[#This Row],[DATE]])</f>
        <v>11</v>
      </c>
      <c r="O514" s="12" t="str">
        <f>TEXT(InputData[[#This Row],[DATE]],"mmm")</f>
        <v>Dec</v>
      </c>
      <c r="P514" s="12">
        <f>YEAR(InputData[[#This Row],[DATE]])</f>
        <v>2022</v>
      </c>
      <c r="Q514" s="12"/>
    </row>
    <row r="515" spans="1:17" x14ac:dyDescent="0.3">
      <c r="A515" s="10">
        <v>44907</v>
      </c>
      <c r="B515" s="11" t="s">
        <v>69</v>
      </c>
      <c r="C515" s="12">
        <v>9</v>
      </c>
      <c r="D515" s="12" t="s">
        <v>105</v>
      </c>
      <c r="E515" s="12" t="s">
        <v>107</v>
      </c>
      <c r="F515" s="13">
        <v>0</v>
      </c>
      <c r="G515" s="12" t="str">
        <f>VLOOKUP(InputData[[#This Row],[PRODUCT ID]],MasterData[],2,0)</f>
        <v>Product30</v>
      </c>
      <c r="H515" s="12" t="str">
        <f>VLOOKUP(InputData[[#This Row],[PRODUCT ID]],MasterData[],3,0)</f>
        <v>Category04</v>
      </c>
      <c r="I515" s="12" t="str">
        <f>VLOOKUP(InputData[[#This Row],[PRODUCT ID]],MasterData[],4,0)</f>
        <v>Ft</v>
      </c>
      <c r="J515" s="14">
        <f>VLOOKUP(InputData[[#This Row],[PRODUCT ID]],MasterData[],5,0)</f>
        <v>148</v>
      </c>
      <c r="K515" s="14">
        <f>VLOOKUP(InputData[[#This Row],[PRODUCT ID]],MasterData[],5,0)</f>
        <v>148</v>
      </c>
      <c r="L515" s="14">
        <f>InputData[[#This Row],[BUYING PRIZE]]*InputData[[#This Row],[QUANTITY]]</f>
        <v>1332</v>
      </c>
      <c r="M515" s="14">
        <f>InputData[[#This Row],[SELLING PRICE]]*InputData[[#This Row],[QUANTITY]]*(1-InputData[[#This Row],[DISCOUNT %]])</f>
        <v>1332</v>
      </c>
      <c r="N515" s="12">
        <f>DAY(InputData[[#This Row],[DATE]])</f>
        <v>12</v>
      </c>
      <c r="O515" s="12" t="str">
        <f>TEXT(InputData[[#This Row],[DATE]],"mmm")</f>
        <v>Dec</v>
      </c>
      <c r="P515" s="12">
        <f>YEAR(InputData[[#This Row],[DATE]])</f>
        <v>2022</v>
      </c>
      <c r="Q515" s="12"/>
    </row>
    <row r="516" spans="1:17" x14ac:dyDescent="0.3">
      <c r="A516" s="10">
        <v>44907</v>
      </c>
      <c r="B516" s="11" t="s">
        <v>92</v>
      </c>
      <c r="C516" s="12">
        <v>10</v>
      </c>
      <c r="D516" s="12" t="s">
        <v>105</v>
      </c>
      <c r="E516" s="12" t="s">
        <v>106</v>
      </c>
      <c r="F516" s="13">
        <v>0</v>
      </c>
      <c r="G516" s="12" t="str">
        <f>VLOOKUP(InputData[[#This Row],[PRODUCT ID]],MasterData[],2,0)</f>
        <v>Product41</v>
      </c>
      <c r="H516" s="12" t="str">
        <f>VLOOKUP(InputData[[#This Row],[PRODUCT ID]],MasterData[],3,0)</f>
        <v>Category05</v>
      </c>
      <c r="I516" s="12" t="str">
        <f>VLOOKUP(InputData[[#This Row],[PRODUCT ID]],MasterData[],4,0)</f>
        <v>Ft</v>
      </c>
      <c r="J516" s="14">
        <f>VLOOKUP(InputData[[#This Row],[PRODUCT ID]],MasterData[],5,0)</f>
        <v>138</v>
      </c>
      <c r="K516" s="14">
        <f>VLOOKUP(InputData[[#This Row],[PRODUCT ID]],MasterData[],5,0)</f>
        <v>138</v>
      </c>
      <c r="L516" s="14">
        <f>InputData[[#This Row],[BUYING PRIZE]]*InputData[[#This Row],[QUANTITY]]</f>
        <v>1380</v>
      </c>
      <c r="M516" s="14">
        <f>InputData[[#This Row],[SELLING PRICE]]*InputData[[#This Row],[QUANTITY]]*(1-InputData[[#This Row],[DISCOUNT %]])</f>
        <v>1380</v>
      </c>
      <c r="N516" s="12">
        <f>DAY(InputData[[#This Row],[DATE]])</f>
        <v>12</v>
      </c>
      <c r="O516" s="12" t="str">
        <f>TEXT(InputData[[#This Row],[DATE]],"mmm")</f>
        <v>Dec</v>
      </c>
      <c r="P516" s="12">
        <f>YEAR(InputData[[#This Row],[DATE]])</f>
        <v>2022</v>
      </c>
      <c r="Q516" s="12"/>
    </row>
    <row r="517" spans="1:17" x14ac:dyDescent="0.3">
      <c r="A517" s="10">
        <v>44909</v>
      </c>
      <c r="B517" s="11" t="s">
        <v>16</v>
      </c>
      <c r="C517" s="12">
        <v>4</v>
      </c>
      <c r="D517" s="12" t="s">
        <v>108</v>
      </c>
      <c r="E517" s="12" t="s">
        <v>107</v>
      </c>
      <c r="F517" s="13">
        <v>0</v>
      </c>
      <c r="G517" s="12" t="str">
        <f>VLOOKUP(InputData[[#This Row],[PRODUCT ID]],MasterData[],2,0)</f>
        <v>Product05</v>
      </c>
      <c r="H517" s="12" t="str">
        <f>VLOOKUP(InputData[[#This Row],[PRODUCT ID]],MasterData[],3,0)</f>
        <v>Category01</v>
      </c>
      <c r="I517" s="12" t="str">
        <f>VLOOKUP(InputData[[#This Row],[PRODUCT ID]],MasterData[],4,0)</f>
        <v>Ft</v>
      </c>
      <c r="J517" s="14">
        <f>VLOOKUP(InputData[[#This Row],[PRODUCT ID]],MasterData[],5,0)</f>
        <v>133</v>
      </c>
      <c r="K517" s="14">
        <f>VLOOKUP(InputData[[#This Row],[PRODUCT ID]],MasterData[],5,0)</f>
        <v>133</v>
      </c>
      <c r="L517" s="14">
        <f>InputData[[#This Row],[BUYING PRIZE]]*InputData[[#This Row],[QUANTITY]]</f>
        <v>532</v>
      </c>
      <c r="M517" s="14">
        <f>InputData[[#This Row],[SELLING PRICE]]*InputData[[#This Row],[QUANTITY]]*(1-InputData[[#This Row],[DISCOUNT %]])</f>
        <v>532</v>
      </c>
      <c r="N517" s="12">
        <f>DAY(InputData[[#This Row],[DATE]])</f>
        <v>14</v>
      </c>
      <c r="O517" s="12" t="str">
        <f>TEXT(InputData[[#This Row],[DATE]],"mmm")</f>
        <v>Dec</v>
      </c>
      <c r="P517" s="12">
        <f>YEAR(InputData[[#This Row],[DATE]])</f>
        <v>2022</v>
      </c>
      <c r="Q517" s="12"/>
    </row>
    <row r="518" spans="1:17" x14ac:dyDescent="0.3">
      <c r="A518" s="10">
        <v>44910</v>
      </c>
      <c r="B518" s="11" t="s">
        <v>24</v>
      </c>
      <c r="C518" s="12">
        <v>13</v>
      </c>
      <c r="D518" s="12" t="s">
        <v>108</v>
      </c>
      <c r="E518" s="12" t="s">
        <v>106</v>
      </c>
      <c r="F518" s="13">
        <v>0</v>
      </c>
      <c r="G518" s="12" t="str">
        <f>VLOOKUP(InputData[[#This Row],[PRODUCT ID]],MasterData[],2,0)</f>
        <v>Product09</v>
      </c>
      <c r="H518" s="12" t="str">
        <f>VLOOKUP(InputData[[#This Row],[PRODUCT ID]],MasterData[],3,0)</f>
        <v>Category01</v>
      </c>
      <c r="I518" s="12" t="str">
        <f>VLOOKUP(InputData[[#This Row],[PRODUCT ID]],MasterData[],4,0)</f>
        <v>No.</v>
      </c>
      <c r="J518" s="14">
        <f>VLOOKUP(InputData[[#This Row],[PRODUCT ID]],MasterData[],5,0)</f>
        <v>6</v>
      </c>
      <c r="K518" s="14">
        <f>VLOOKUP(InputData[[#This Row],[PRODUCT ID]],MasterData[],5,0)</f>
        <v>6</v>
      </c>
      <c r="L518" s="14">
        <f>InputData[[#This Row],[BUYING PRIZE]]*InputData[[#This Row],[QUANTITY]]</f>
        <v>78</v>
      </c>
      <c r="M518" s="14">
        <f>InputData[[#This Row],[SELLING PRICE]]*InputData[[#This Row],[QUANTITY]]*(1-InputData[[#This Row],[DISCOUNT %]])</f>
        <v>78</v>
      </c>
      <c r="N518" s="12">
        <f>DAY(InputData[[#This Row],[DATE]])</f>
        <v>15</v>
      </c>
      <c r="O518" s="12" t="str">
        <f>TEXT(InputData[[#This Row],[DATE]],"mmm")</f>
        <v>Dec</v>
      </c>
      <c r="P518" s="12">
        <f>YEAR(InputData[[#This Row],[DATE]])</f>
        <v>2022</v>
      </c>
      <c r="Q518" s="12"/>
    </row>
    <row r="519" spans="1:17" x14ac:dyDescent="0.3">
      <c r="A519" s="10">
        <v>44914</v>
      </c>
      <c r="B519" s="11" t="s">
        <v>98</v>
      </c>
      <c r="C519" s="12">
        <v>7</v>
      </c>
      <c r="D519" s="12" t="s">
        <v>108</v>
      </c>
      <c r="E519" s="12" t="s">
        <v>106</v>
      </c>
      <c r="F519" s="13">
        <v>0</v>
      </c>
      <c r="G519" s="12" t="str">
        <f>VLOOKUP(InputData[[#This Row],[PRODUCT ID]],MasterData[],2,0)</f>
        <v>Product44</v>
      </c>
      <c r="H519" s="12" t="str">
        <f>VLOOKUP(InputData[[#This Row],[PRODUCT ID]],MasterData[],3,0)</f>
        <v>Category05</v>
      </c>
      <c r="I519" s="12" t="str">
        <f>VLOOKUP(InputData[[#This Row],[PRODUCT ID]],MasterData[],4,0)</f>
        <v>Kg</v>
      </c>
      <c r="J519" s="14">
        <f>VLOOKUP(InputData[[#This Row],[PRODUCT ID]],MasterData[],5,0)</f>
        <v>76</v>
      </c>
      <c r="K519" s="14">
        <f>VLOOKUP(InputData[[#This Row],[PRODUCT ID]],MasterData[],5,0)</f>
        <v>76</v>
      </c>
      <c r="L519" s="14">
        <f>InputData[[#This Row],[BUYING PRIZE]]*InputData[[#This Row],[QUANTITY]]</f>
        <v>532</v>
      </c>
      <c r="M519" s="14">
        <f>InputData[[#This Row],[SELLING PRICE]]*InputData[[#This Row],[QUANTITY]]*(1-InputData[[#This Row],[DISCOUNT %]])</f>
        <v>532</v>
      </c>
      <c r="N519" s="12">
        <f>DAY(InputData[[#This Row],[DATE]])</f>
        <v>19</v>
      </c>
      <c r="O519" s="12" t="str">
        <f>TEXT(InputData[[#This Row],[DATE]],"mmm")</f>
        <v>Dec</v>
      </c>
      <c r="P519" s="12">
        <f>YEAR(InputData[[#This Row],[DATE]])</f>
        <v>2022</v>
      </c>
      <c r="Q519" s="12"/>
    </row>
    <row r="520" spans="1:17" x14ac:dyDescent="0.3">
      <c r="A520" s="10">
        <v>44914</v>
      </c>
      <c r="B520" s="11" t="s">
        <v>29</v>
      </c>
      <c r="C520" s="12">
        <v>14</v>
      </c>
      <c r="D520" s="12" t="s">
        <v>108</v>
      </c>
      <c r="E520" s="12" t="s">
        <v>107</v>
      </c>
      <c r="F520" s="13">
        <v>0</v>
      </c>
      <c r="G520" s="12" t="str">
        <f>VLOOKUP(InputData[[#This Row],[PRODUCT ID]],MasterData[],2,0)</f>
        <v>Product11</v>
      </c>
      <c r="H520" s="12" t="str">
        <f>VLOOKUP(InputData[[#This Row],[PRODUCT ID]],MasterData[],3,0)</f>
        <v>Category02</v>
      </c>
      <c r="I520" s="12" t="str">
        <f>VLOOKUP(InputData[[#This Row],[PRODUCT ID]],MasterData[],4,0)</f>
        <v>Lt</v>
      </c>
      <c r="J520" s="14">
        <f>VLOOKUP(InputData[[#This Row],[PRODUCT ID]],MasterData[],5,0)</f>
        <v>44</v>
      </c>
      <c r="K520" s="14">
        <f>VLOOKUP(InputData[[#This Row],[PRODUCT ID]],MasterData[],5,0)</f>
        <v>44</v>
      </c>
      <c r="L520" s="14">
        <f>InputData[[#This Row],[BUYING PRIZE]]*InputData[[#This Row],[QUANTITY]]</f>
        <v>616</v>
      </c>
      <c r="M520" s="14">
        <f>InputData[[#This Row],[SELLING PRICE]]*InputData[[#This Row],[QUANTITY]]*(1-InputData[[#This Row],[DISCOUNT %]])</f>
        <v>616</v>
      </c>
      <c r="N520" s="12">
        <f>DAY(InputData[[#This Row],[DATE]])</f>
        <v>19</v>
      </c>
      <c r="O520" s="12" t="str">
        <f>TEXT(InputData[[#This Row],[DATE]],"mmm")</f>
        <v>Dec</v>
      </c>
      <c r="P520" s="12">
        <f>YEAR(InputData[[#This Row],[DATE]])</f>
        <v>2022</v>
      </c>
      <c r="Q520" s="12"/>
    </row>
    <row r="521" spans="1:17" x14ac:dyDescent="0.3">
      <c r="A521" s="10">
        <v>44914</v>
      </c>
      <c r="B521" s="11" t="s">
        <v>24</v>
      </c>
      <c r="C521" s="12">
        <v>11</v>
      </c>
      <c r="D521" s="12" t="s">
        <v>106</v>
      </c>
      <c r="E521" s="12" t="s">
        <v>106</v>
      </c>
      <c r="F521" s="13">
        <v>0</v>
      </c>
      <c r="G521" s="12" t="str">
        <f>VLOOKUP(InputData[[#This Row],[PRODUCT ID]],MasterData[],2,0)</f>
        <v>Product09</v>
      </c>
      <c r="H521" s="12" t="str">
        <f>VLOOKUP(InputData[[#This Row],[PRODUCT ID]],MasterData[],3,0)</f>
        <v>Category01</v>
      </c>
      <c r="I521" s="12" t="str">
        <f>VLOOKUP(InputData[[#This Row],[PRODUCT ID]],MasterData[],4,0)</f>
        <v>No.</v>
      </c>
      <c r="J521" s="14">
        <f>VLOOKUP(InputData[[#This Row],[PRODUCT ID]],MasterData[],5,0)</f>
        <v>6</v>
      </c>
      <c r="K521" s="14">
        <f>VLOOKUP(InputData[[#This Row],[PRODUCT ID]],MasterData[],5,0)</f>
        <v>6</v>
      </c>
      <c r="L521" s="14">
        <f>InputData[[#This Row],[BUYING PRIZE]]*InputData[[#This Row],[QUANTITY]]</f>
        <v>66</v>
      </c>
      <c r="M521" s="14">
        <f>InputData[[#This Row],[SELLING PRICE]]*InputData[[#This Row],[QUANTITY]]*(1-InputData[[#This Row],[DISCOUNT %]])</f>
        <v>66</v>
      </c>
      <c r="N521" s="12">
        <f>DAY(InputData[[#This Row],[DATE]])</f>
        <v>19</v>
      </c>
      <c r="O521" s="12" t="str">
        <f>TEXT(InputData[[#This Row],[DATE]],"mmm")</f>
        <v>Dec</v>
      </c>
      <c r="P521" s="12">
        <f>YEAR(InputData[[#This Row],[DATE]])</f>
        <v>2022</v>
      </c>
      <c r="Q521" s="12"/>
    </row>
    <row r="522" spans="1:17" x14ac:dyDescent="0.3">
      <c r="A522" s="10">
        <v>44916</v>
      </c>
      <c r="B522" s="11" t="s">
        <v>18</v>
      </c>
      <c r="C522" s="12">
        <v>10</v>
      </c>
      <c r="D522" s="12" t="s">
        <v>108</v>
      </c>
      <c r="E522" s="12" t="s">
        <v>106</v>
      </c>
      <c r="F522" s="13">
        <v>0</v>
      </c>
      <c r="G522" s="12" t="str">
        <f>VLOOKUP(InputData[[#This Row],[PRODUCT ID]],MasterData[],2,0)</f>
        <v>Product06</v>
      </c>
      <c r="H522" s="12" t="str">
        <f>VLOOKUP(InputData[[#This Row],[PRODUCT ID]],MasterData[],3,0)</f>
        <v>Category01</v>
      </c>
      <c r="I522" s="12" t="str">
        <f>VLOOKUP(InputData[[#This Row],[PRODUCT ID]],MasterData[],4,0)</f>
        <v>Kg</v>
      </c>
      <c r="J522" s="14">
        <f>VLOOKUP(InputData[[#This Row],[PRODUCT ID]],MasterData[],5,0)</f>
        <v>75</v>
      </c>
      <c r="K522" s="14">
        <f>VLOOKUP(InputData[[#This Row],[PRODUCT ID]],MasterData[],5,0)</f>
        <v>75</v>
      </c>
      <c r="L522" s="14">
        <f>InputData[[#This Row],[BUYING PRIZE]]*InputData[[#This Row],[QUANTITY]]</f>
        <v>750</v>
      </c>
      <c r="M522" s="14">
        <f>InputData[[#This Row],[SELLING PRICE]]*InputData[[#This Row],[QUANTITY]]*(1-InputData[[#This Row],[DISCOUNT %]])</f>
        <v>750</v>
      </c>
      <c r="N522" s="12">
        <f>DAY(InputData[[#This Row],[DATE]])</f>
        <v>21</v>
      </c>
      <c r="O522" s="12" t="str">
        <f>TEXT(InputData[[#This Row],[DATE]],"mmm")</f>
        <v>Dec</v>
      </c>
      <c r="P522" s="12">
        <f>YEAR(InputData[[#This Row],[DATE]])</f>
        <v>2022</v>
      </c>
      <c r="Q522" s="12"/>
    </row>
    <row r="523" spans="1:17" x14ac:dyDescent="0.3">
      <c r="A523" s="10">
        <v>44924</v>
      </c>
      <c r="B523" s="11" t="s">
        <v>22</v>
      </c>
      <c r="C523" s="12">
        <v>15</v>
      </c>
      <c r="D523" s="12" t="s">
        <v>108</v>
      </c>
      <c r="E523" s="12" t="s">
        <v>106</v>
      </c>
      <c r="F523" s="13">
        <v>0</v>
      </c>
      <c r="G523" s="12" t="str">
        <f>VLOOKUP(InputData[[#This Row],[PRODUCT ID]],MasterData[],2,0)</f>
        <v>Product08</v>
      </c>
      <c r="H523" s="12" t="str">
        <f>VLOOKUP(InputData[[#This Row],[PRODUCT ID]],MasterData[],3,0)</f>
        <v>Category01</v>
      </c>
      <c r="I523" s="12" t="str">
        <f>VLOOKUP(InputData[[#This Row],[PRODUCT ID]],MasterData[],4,0)</f>
        <v>Kg</v>
      </c>
      <c r="J523" s="14">
        <f>VLOOKUP(InputData[[#This Row],[PRODUCT ID]],MasterData[],5,0)</f>
        <v>83</v>
      </c>
      <c r="K523" s="14">
        <f>VLOOKUP(InputData[[#This Row],[PRODUCT ID]],MasterData[],5,0)</f>
        <v>83</v>
      </c>
      <c r="L523" s="14">
        <f>InputData[[#This Row],[BUYING PRIZE]]*InputData[[#This Row],[QUANTITY]]</f>
        <v>1245</v>
      </c>
      <c r="M523" s="14">
        <f>InputData[[#This Row],[SELLING PRICE]]*InputData[[#This Row],[QUANTITY]]*(1-InputData[[#This Row],[DISCOUNT %]])</f>
        <v>1245</v>
      </c>
      <c r="N523" s="12">
        <f>DAY(InputData[[#This Row],[DATE]])</f>
        <v>29</v>
      </c>
      <c r="O523" s="12" t="str">
        <f>TEXT(InputData[[#This Row],[DATE]],"mmm")</f>
        <v>Dec</v>
      </c>
      <c r="P523" s="12">
        <f>YEAR(InputData[[#This Row],[DATE]])</f>
        <v>2022</v>
      </c>
      <c r="Q523" s="12"/>
    </row>
    <row r="524" spans="1:17" x14ac:dyDescent="0.3">
      <c r="A524" s="10">
        <v>44924</v>
      </c>
      <c r="B524" s="11" t="s">
        <v>94</v>
      </c>
      <c r="C524" s="12">
        <v>1</v>
      </c>
      <c r="D524" s="12" t="s">
        <v>105</v>
      </c>
      <c r="E524" s="12" t="s">
        <v>107</v>
      </c>
      <c r="F524" s="13">
        <v>0</v>
      </c>
      <c r="G524" s="12" t="str">
        <f>VLOOKUP(InputData[[#This Row],[PRODUCT ID]],MasterData[],2,0)</f>
        <v>Product42</v>
      </c>
      <c r="H524" s="12" t="str">
        <f>VLOOKUP(InputData[[#This Row],[PRODUCT ID]],MasterData[],3,0)</f>
        <v>Category05</v>
      </c>
      <c r="I524" s="12" t="str">
        <f>VLOOKUP(InputData[[#This Row],[PRODUCT ID]],MasterData[],4,0)</f>
        <v>Ft</v>
      </c>
      <c r="J524" s="14">
        <f>VLOOKUP(InputData[[#This Row],[PRODUCT ID]],MasterData[],5,0)</f>
        <v>120</v>
      </c>
      <c r="K524" s="14">
        <f>VLOOKUP(InputData[[#This Row],[PRODUCT ID]],MasterData[],5,0)</f>
        <v>120</v>
      </c>
      <c r="L524" s="14">
        <f>InputData[[#This Row],[BUYING PRIZE]]*InputData[[#This Row],[QUANTITY]]</f>
        <v>120</v>
      </c>
      <c r="M524" s="14">
        <f>InputData[[#This Row],[SELLING PRICE]]*InputData[[#This Row],[QUANTITY]]*(1-InputData[[#This Row],[DISCOUNT %]])</f>
        <v>120</v>
      </c>
      <c r="N524" s="12">
        <f>DAY(InputData[[#This Row],[DATE]])</f>
        <v>29</v>
      </c>
      <c r="O524" s="12" t="str">
        <f>TEXT(InputData[[#This Row],[DATE]],"mmm")</f>
        <v>Dec</v>
      </c>
      <c r="P524" s="12">
        <f>YEAR(InputData[[#This Row],[DATE]])</f>
        <v>2022</v>
      </c>
      <c r="Q524" s="12"/>
    </row>
    <row r="525" spans="1:17" x14ac:dyDescent="0.3">
      <c r="A525" s="10">
        <v>44925</v>
      </c>
      <c r="B525" s="11" t="s">
        <v>92</v>
      </c>
      <c r="C525" s="12">
        <v>14</v>
      </c>
      <c r="D525" s="12" t="s">
        <v>108</v>
      </c>
      <c r="E525" s="12" t="s">
        <v>106</v>
      </c>
      <c r="F525" s="13">
        <v>0</v>
      </c>
      <c r="G525" s="12" t="str">
        <f>VLOOKUP(InputData[[#This Row],[PRODUCT ID]],MasterData[],2,0)</f>
        <v>Product41</v>
      </c>
      <c r="H525" s="12" t="str">
        <f>VLOOKUP(InputData[[#This Row],[PRODUCT ID]],MasterData[],3,0)</f>
        <v>Category05</v>
      </c>
      <c r="I525" s="12" t="str">
        <f>VLOOKUP(InputData[[#This Row],[PRODUCT ID]],MasterData[],4,0)</f>
        <v>Ft</v>
      </c>
      <c r="J525" s="14">
        <f>VLOOKUP(InputData[[#This Row],[PRODUCT ID]],MasterData[],5,0)</f>
        <v>138</v>
      </c>
      <c r="K525" s="14">
        <f>VLOOKUP(InputData[[#This Row],[PRODUCT ID]],MasterData[],5,0)</f>
        <v>138</v>
      </c>
      <c r="L525" s="14">
        <f>InputData[[#This Row],[BUYING PRIZE]]*InputData[[#This Row],[QUANTITY]]</f>
        <v>1932</v>
      </c>
      <c r="M525" s="14">
        <f>InputData[[#This Row],[SELLING PRICE]]*InputData[[#This Row],[QUANTITY]]*(1-InputData[[#This Row],[DISCOUNT %]])</f>
        <v>1932</v>
      </c>
      <c r="N525" s="12">
        <f>DAY(InputData[[#This Row],[DATE]])</f>
        <v>30</v>
      </c>
      <c r="O525" s="12" t="str">
        <f>TEXT(InputData[[#This Row],[DATE]],"mmm")</f>
        <v>Dec</v>
      </c>
      <c r="P525" s="12">
        <f>YEAR(InputData[[#This Row],[DATE]])</f>
        <v>2022</v>
      </c>
      <c r="Q525" s="12"/>
    </row>
    <row r="526" spans="1:17" x14ac:dyDescent="0.3">
      <c r="A526" s="10">
        <v>44926</v>
      </c>
      <c r="B526" s="11" t="s">
        <v>75</v>
      </c>
      <c r="C526" s="12">
        <v>12</v>
      </c>
      <c r="D526" s="12" t="s">
        <v>106</v>
      </c>
      <c r="E526" s="12" t="s">
        <v>106</v>
      </c>
      <c r="F526" s="13">
        <v>0</v>
      </c>
      <c r="G526" s="12" t="str">
        <f>VLOOKUP(InputData[[#This Row],[PRODUCT ID]],MasterData[],2,0)</f>
        <v>Product33</v>
      </c>
      <c r="H526" s="12" t="str">
        <f>VLOOKUP(InputData[[#This Row],[PRODUCT ID]],MasterData[],3,0)</f>
        <v>Category04</v>
      </c>
      <c r="I526" s="12" t="str">
        <f>VLOOKUP(InputData[[#This Row],[PRODUCT ID]],MasterData[],4,0)</f>
        <v>Kg</v>
      </c>
      <c r="J526" s="14">
        <f>VLOOKUP(InputData[[#This Row],[PRODUCT ID]],MasterData[],5,0)</f>
        <v>95</v>
      </c>
      <c r="K526" s="14">
        <f>VLOOKUP(InputData[[#This Row],[PRODUCT ID]],MasterData[],5,0)</f>
        <v>95</v>
      </c>
      <c r="L526" s="14">
        <f>InputData[[#This Row],[BUYING PRIZE]]*InputData[[#This Row],[QUANTITY]]</f>
        <v>1140</v>
      </c>
      <c r="M526" s="14">
        <f>InputData[[#This Row],[SELLING PRICE]]*InputData[[#This Row],[QUANTITY]]*(1-InputData[[#This Row],[DISCOUNT %]])</f>
        <v>1140</v>
      </c>
      <c r="N526" s="12">
        <f>DAY(InputData[[#This Row],[DATE]])</f>
        <v>31</v>
      </c>
      <c r="O526" s="12" t="str">
        <f>TEXT(InputData[[#This Row],[DATE]],"mmm")</f>
        <v>Dec</v>
      </c>
      <c r="P526" s="12">
        <f>YEAR(InputData[[#This Row],[DATE]])</f>
        <v>2022</v>
      </c>
      <c r="Q526" s="12"/>
    </row>
    <row r="527" spans="1:17" x14ac:dyDescent="0.3">
      <c r="A527" s="10">
        <v>44926</v>
      </c>
      <c r="B527" s="11" t="s">
        <v>29</v>
      </c>
      <c r="C527" s="12">
        <v>6</v>
      </c>
      <c r="D527" s="12" t="s">
        <v>106</v>
      </c>
      <c r="E527" s="12" t="s">
        <v>106</v>
      </c>
      <c r="F527" s="13">
        <v>0</v>
      </c>
      <c r="G527" s="12" t="str">
        <f>VLOOKUP(InputData[[#This Row],[PRODUCT ID]],MasterData[],2,0)</f>
        <v>Product11</v>
      </c>
      <c r="H527" s="12" t="str">
        <f>VLOOKUP(InputData[[#This Row],[PRODUCT ID]],MasterData[],3,0)</f>
        <v>Category02</v>
      </c>
      <c r="I527" s="12" t="str">
        <f>VLOOKUP(InputData[[#This Row],[PRODUCT ID]],MasterData[],4,0)</f>
        <v>Lt</v>
      </c>
      <c r="J527" s="14">
        <f>VLOOKUP(InputData[[#This Row],[PRODUCT ID]],MasterData[],5,0)</f>
        <v>44</v>
      </c>
      <c r="K527" s="14">
        <f>VLOOKUP(InputData[[#This Row],[PRODUCT ID]],MasterData[],5,0)</f>
        <v>44</v>
      </c>
      <c r="L527" s="14">
        <f>InputData[[#This Row],[BUYING PRIZE]]*InputData[[#This Row],[QUANTITY]]</f>
        <v>264</v>
      </c>
      <c r="M527" s="14">
        <f>InputData[[#This Row],[SELLING PRICE]]*InputData[[#This Row],[QUANTITY]]*(1-InputData[[#This Row],[DISCOUNT %]])</f>
        <v>264</v>
      </c>
      <c r="N527" s="12">
        <f>DAY(InputData[[#This Row],[DATE]])</f>
        <v>31</v>
      </c>
      <c r="O527" s="12" t="str">
        <f>TEXT(InputData[[#This Row],[DATE]],"mmm")</f>
        <v>Dec</v>
      </c>
      <c r="P527" s="12">
        <f>YEAR(InputData[[#This Row],[DATE]])</f>
        <v>2022</v>
      </c>
      <c r="Q527" s="12"/>
    </row>
    <row r="528" spans="1:17" x14ac:dyDescent="0.3">
      <c r="A528" s="10">
        <v>44926</v>
      </c>
      <c r="B528" s="11" t="s">
        <v>29</v>
      </c>
      <c r="C528" s="12">
        <v>3</v>
      </c>
      <c r="D528" s="12" t="s">
        <v>105</v>
      </c>
      <c r="E528" s="12" t="s">
        <v>107</v>
      </c>
      <c r="F528" s="13">
        <v>0</v>
      </c>
      <c r="G528" s="12" t="str">
        <f>VLOOKUP(InputData[[#This Row],[PRODUCT ID]],MasterData[],2,0)</f>
        <v>Product11</v>
      </c>
      <c r="H528" s="12" t="str">
        <f>VLOOKUP(InputData[[#This Row],[PRODUCT ID]],MasterData[],3,0)</f>
        <v>Category02</v>
      </c>
      <c r="I528" s="12" t="str">
        <f>VLOOKUP(InputData[[#This Row],[PRODUCT ID]],MasterData[],4,0)</f>
        <v>Lt</v>
      </c>
      <c r="J528" s="14">
        <f>VLOOKUP(InputData[[#This Row],[PRODUCT ID]],MasterData[],5,0)</f>
        <v>44</v>
      </c>
      <c r="K528" s="14">
        <f>VLOOKUP(InputData[[#This Row],[PRODUCT ID]],MasterData[],5,0)</f>
        <v>44</v>
      </c>
      <c r="L528" s="14">
        <f>InputData[[#This Row],[BUYING PRIZE]]*InputData[[#This Row],[QUANTITY]]</f>
        <v>132</v>
      </c>
      <c r="M528" s="14">
        <f>InputData[[#This Row],[SELLING PRICE]]*InputData[[#This Row],[QUANTITY]]*(1-InputData[[#This Row],[DISCOUNT %]])</f>
        <v>132</v>
      </c>
      <c r="N528" s="12">
        <f>DAY(InputData[[#This Row],[DATE]])</f>
        <v>31</v>
      </c>
      <c r="O528" s="12" t="str">
        <f>TEXT(InputData[[#This Row],[DATE]],"mmm")</f>
        <v>Dec</v>
      </c>
      <c r="P528" s="12">
        <f>YEAR(InputData[[#This Row],[DATE]])</f>
        <v>2022</v>
      </c>
      <c r="Q528" s="12"/>
    </row>
  </sheetData>
  <dataValidations count="3">
    <dataValidation type="list" allowBlank="1" showInputMessage="1" showErrorMessage="1" sqref="E2:E528" xr:uid="{E70A61AB-A580-4E7A-B899-FA41582346B0}">
      <formula1>"Online,Cash"</formula1>
    </dataValidation>
    <dataValidation type="whole" allowBlank="1" showInputMessage="1" showErrorMessage="1" sqref="C2:C528" xr:uid="{74FC4239-C815-4304-B7C1-8D0942A55F70}">
      <formula1>1</formula1>
      <formula2>1000</formula2>
    </dataValidation>
    <dataValidation type="list" allowBlank="1" showInputMessage="1" sqref="D2:D528" xr:uid="{A518AD93-0717-49F4-B9D6-45DB3B9AC2C4}">
      <formula1>"Online,Wholesaler,Direct Sales"</formula1>
    </dataValidation>
  </dataValidations>
  <pageMargins left="0.7" right="0.7" top="0.75" bottom="0.75" header="0.3" footer="0.3"/>
  <pageSetup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72B0D-0958-4B40-9249-FB0E3D41DBB9}">
  <sheetPr>
    <tabColor rgb="FFFFC000"/>
  </sheetPr>
  <dimension ref="A1:G46"/>
  <sheetViews>
    <sheetView topLeftCell="A4" workbookViewId="0">
      <selection activeCell="B46" sqref="B46"/>
    </sheetView>
  </sheetViews>
  <sheetFormatPr defaultRowHeight="14.4" x14ac:dyDescent="0.3"/>
  <cols>
    <col min="1" max="1" width="15.88671875" customWidth="1"/>
    <col min="2" max="2" width="13.6640625" customWidth="1"/>
    <col min="3" max="3" width="14.44140625" customWidth="1"/>
    <col min="4" max="4" width="9.88671875" customWidth="1"/>
    <col min="5" max="5" width="17.21875" customWidth="1"/>
    <col min="6" max="6" width="17.77734375" customWidth="1"/>
  </cols>
  <sheetData>
    <row r="1" spans="1:7" ht="15" thickBot="1" x14ac:dyDescent="0.35">
      <c r="A1" s="1" t="s">
        <v>0</v>
      </c>
      <c r="B1" s="1" t="s">
        <v>1</v>
      </c>
      <c r="C1" s="1" t="s">
        <v>2</v>
      </c>
      <c r="D1" s="1" t="s">
        <v>3</v>
      </c>
      <c r="E1" s="1" t="s">
        <v>4</v>
      </c>
      <c r="F1" s="1" t="s">
        <v>5</v>
      </c>
      <c r="G1" s="1" t="s">
        <v>141</v>
      </c>
    </row>
    <row r="2" spans="1:7" x14ac:dyDescent="0.3">
      <c r="A2" t="s">
        <v>6</v>
      </c>
      <c r="B2" t="s">
        <v>7</v>
      </c>
      <c r="C2" t="s">
        <v>8</v>
      </c>
      <c r="D2" t="s">
        <v>9</v>
      </c>
      <c r="E2">
        <v>98</v>
      </c>
      <c r="F2">
        <v>103.88</v>
      </c>
      <c r="G2" t="str">
        <f t="shared" ref="G2:G46" si="0">IF(E1&lt;50,"Bad",IF(E1&lt;=100,"Good","Very good"))</f>
        <v>Very good</v>
      </c>
    </row>
    <row r="3" spans="1:7" x14ac:dyDescent="0.3">
      <c r="A3" t="s">
        <v>10</v>
      </c>
      <c r="B3" t="s">
        <v>11</v>
      </c>
      <c r="C3" t="s">
        <v>8</v>
      </c>
      <c r="D3" t="s">
        <v>9</v>
      </c>
      <c r="E3">
        <v>105</v>
      </c>
      <c r="F3">
        <v>142.80000000000001</v>
      </c>
      <c r="G3" t="str">
        <f t="shared" si="0"/>
        <v>Good</v>
      </c>
    </row>
    <row r="4" spans="1:7" x14ac:dyDescent="0.3">
      <c r="A4" t="s">
        <v>12</v>
      </c>
      <c r="B4" t="s">
        <v>13</v>
      </c>
      <c r="C4" t="s">
        <v>8</v>
      </c>
      <c r="D4" t="s">
        <v>9</v>
      </c>
      <c r="E4">
        <v>71</v>
      </c>
      <c r="F4">
        <v>80.94</v>
      </c>
      <c r="G4" t="str">
        <f t="shared" si="0"/>
        <v>Very good</v>
      </c>
    </row>
    <row r="5" spans="1:7" x14ac:dyDescent="0.3">
      <c r="A5" t="s">
        <v>14</v>
      </c>
      <c r="B5" t="s">
        <v>15</v>
      </c>
      <c r="C5" t="s">
        <v>8</v>
      </c>
      <c r="D5" t="s">
        <v>109</v>
      </c>
      <c r="E5">
        <v>44</v>
      </c>
      <c r="F5">
        <v>48.84</v>
      </c>
      <c r="G5" t="str">
        <f t="shared" si="0"/>
        <v>Good</v>
      </c>
    </row>
    <row r="6" spans="1:7" x14ac:dyDescent="0.3">
      <c r="A6" t="s">
        <v>16</v>
      </c>
      <c r="B6" t="s">
        <v>17</v>
      </c>
      <c r="C6" t="s">
        <v>8</v>
      </c>
      <c r="D6" t="s">
        <v>110</v>
      </c>
      <c r="E6">
        <v>133</v>
      </c>
      <c r="F6">
        <v>155.61000000000001</v>
      </c>
      <c r="G6" t="str">
        <f t="shared" si="0"/>
        <v>Bad</v>
      </c>
    </row>
    <row r="7" spans="1:7" x14ac:dyDescent="0.3">
      <c r="A7" t="s">
        <v>18</v>
      </c>
      <c r="B7" t="s">
        <v>19</v>
      </c>
      <c r="C7" t="s">
        <v>8</v>
      </c>
      <c r="D7" t="s">
        <v>9</v>
      </c>
      <c r="E7">
        <v>75</v>
      </c>
      <c r="F7">
        <v>85.5</v>
      </c>
      <c r="G7" t="str">
        <f t="shared" si="0"/>
        <v>Very good</v>
      </c>
    </row>
    <row r="8" spans="1:7" x14ac:dyDescent="0.3">
      <c r="A8" t="s">
        <v>20</v>
      </c>
      <c r="B8" t="s">
        <v>21</v>
      </c>
      <c r="C8" t="s">
        <v>8</v>
      </c>
      <c r="D8" t="s">
        <v>109</v>
      </c>
      <c r="E8">
        <v>43</v>
      </c>
      <c r="F8">
        <v>47.730000000000004</v>
      </c>
      <c r="G8" t="str">
        <f t="shared" si="0"/>
        <v>Good</v>
      </c>
    </row>
    <row r="9" spans="1:7" x14ac:dyDescent="0.3">
      <c r="A9" t="s">
        <v>22</v>
      </c>
      <c r="B9" t="s">
        <v>23</v>
      </c>
      <c r="C9" t="s">
        <v>8</v>
      </c>
      <c r="D9" t="s">
        <v>9</v>
      </c>
      <c r="E9">
        <v>83</v>
      </c>
      <c r="F9">
        <v>94.62</v>
      </c>
      <c r="G9" t="str">
        <f t="shared" si="0"/>
        <v>Bad</v>
      </c>
    </row>
    <row r="10" spans="1:7" x14ac:dyDescent="0.3">
      <c r="A10" t="s">
        <v>24</v>
      </c>
      <c r="B10" t="s">
        <v>25</v>
      </c>
      <c r="C10" t="s">
        <v>8</v>
      </c>
      <c r="D10" t="s">
        <v>111</v>
      </c>
      <c r="E10">
        <v>6</v>
      </c>
      <c r="F10">
        <v>7.8599999999999994</v>
      </c>
      <c r="G10" t="str">
        <f t="shared" si="0"/>
        <v>Good</v>
      </c>
    </row>
    <row r="11" spans="1:7" x14ac:dyDescent="0.3">
      <c r="A11" t="s">
        <v>26</v>
      </c>
      <c r="B11" t="s">
        <v>27</v>
      </c>
      <c r="C11" t="s">
        <v>28</v>
      </c>
      <c r="D11" t="s">
        <v>110</v>
      </c>
      <c r="E11">
        <v>148</v>
      </c>
      <c r="F11">
        <v>164.28</v>
      </c>
      <c r="G11" t="str">
        <f t="shared" si="0"/>
        <v>Bad</v>
      </c>
    </row>
    <row r="12" spans="1:7" x14ac:dyDescent="0.3">
      <c r="A12" t="s">
        <v>29</v>
      </c>
      <c r="B12" t="s">
        <v>30</v>
      </c>
      <c r="C12" t="s">
        <v>28</v>
      </c>
      <c r="D12" t="s">
        <v>109</v>
      </c>
      <c r="E12">
        <v>44</v>
      </c>
      <c r="F12">
        <v>48.4</v>
      </c>
      <c r="G12" t="str">
        <f t="shared" si="0"/>
        <v>Very good</v>
      </c>
    </row>
    <row r="13" spans="1:7" x14ac:dyDescent="0.3">
      <c r="A13" t="s">
        <v>31</v>
      </c>
      <c r="B13" t="s">
        <v>32</v>
      </c>
      <c r="C13" t="s">
        <v>28</v>
      </c>
      <c r="D13" t="s">
        <v>9</v>
      </c>
      <c r="E13">
        <v>73</v>
      </c>
      <c r="F13">
        <v>94.17</v>
      </c>
      <c r="G13" t="str">
        <f t="shared" si="0"/>
        <v>Bad</v>
      </c>
    </row>
    <row r="14" spans="1:7" x14ac:dyDescent="0.3">
      <c r="A14" t="s">
        <v>33</v>
      </c>
      <c r="B14" t="s">
        <v>34</v>
      </c>
      <c r="C14" t="s">
        <v>28</v>
      </c>
      <c r="D14" t="s">
        <v>9</v>
      </c>
      <c r="E14">
        <v>112</v>
      </c>
      <c r="F14">
        <v>122.08</v>
      </c>
      <c r="G14" t="str">
        <f t="shared" si="0"/>
        <v>Good</v>
      </c>
    </row>
    <row r="15" spans="1:7" x14ac:dyDescent="0.3">
      <c r="A15" t="s">
        <v>35</v>
      </c>
      <c r="B15" t="s">
        <v>36</v>
      </c>
      <c r="C15" t="s">
        <v>28</v>
      </c>
      <c r="D15" t="s">
        <v>9</v>
      </c>
      <c r="E15">
        <v>112</v>
      </c>
      <c r="F15">
        <v>146.72</v>
      </c>
      <c r="G15" t="str">
        <f t="shared" si="0"/>
        <v>Very good</v>
      </c>
    </row>
    <row r="16" spans="1:7" x14ac:dyDescent="0.3">
      <c r="A16" t="s">
        <v>37</v>
      </c>
      <c r="B16" t="s">
        <v>38</v>
      </c>
      <c r="C16" t="s">
        <v>28</v>
      </c>
      <c r="D16" t="s">
        <v>111</v>
      </c>
      <c r="E16">
        <v>12</v>
      </c>
      <c r="F16">
        <v>15.719999999999999</v>
      </c>
      <c r="G16" t="str">
        <f t="shared" si="0"/>
        <v>Very good</v>
      </c>
    </row>
    <row r="17" spans="1:7" x14ac:dyDescent="0.3">
      <c r="A17" t="s">
        <v>39</v>
      </c>
      <c r="B17" t="s">
        <v>40</v>
      </c>
      <c r="C17" t="s">
        <v>28</v>
      </c>
      <c r="D17" t="s">
        <v>111</v>
      </c>
      <c r="E17">
        <v>13</v>
      </c>
      <c r="F17">
        <v>16.64</v>
      </c>
      <c r="G17" t="str">
        <f t="shared" si="0"/>
        <v>Bad</v>
      </c>
    </row>
    <row r="18" spans="1:7" x14ac:dyDescent="0.3">
      <c r="A18" t="s">
        <v>41</v>
      </c>
      <c r="B18" t="s">
        <v>42</v>
      </c>
      <c r="C18" t="s">
        <v>28</v>
      </c>
      <c r="D18" t="s">
        <v>110</v>
      </c>
      <c r="E18">
        <v>134</v>
      </c>
      <c r="F18">
        <v>156.78</v>
      </c>
      <c r="G18" t="str">
        <f t="shared" si="0"/>
        <v>Bad</v>
      </c>
    </row>
    <row r="19" spans="1:7" x14ac:dyDescent="0.3">
      <c r="A19" t="s">
        <v>43</v>
      </c>
      <c r="B19" t="s">
        <v>44</v>
      </c>
      <c r="C19" t="s">
        <v>28</v>
      </c>
      <c r="D19" t="s">
        <v>111</v>
      </c>
      <c r="E19">
        <v>37</v>
      </c>
      <c r="F19">
        <v>49.21</v>
      </c>
      <c r="G19" t="str">
        <f t="shared" si="0"/>
        <v>Very good</v>
      </c>
    </row>
    <row r="20" spans="1:7" x14ac:dyDescent="0.3">
      <c r="A20" t="s">
        <v>45</v>
      </c>
      <c r="B20" t="s">
        <v>46</v>
      </c>
      <c r="C20" t="s">
        <v>28</v>
      </c>
      <c r="D20" t="s">
        <v>110</v>
      </c>
      <c r="E20">
        <v>150</v>
      </c>
      <c r="F20">
        <v>210</v>
      </c>
      <c r="G20" t="str">
        <f t="shared" si="0"/>
        <v>Bad</v>
      </c>
    </row>
    <row r="21" spans="1:7" x14ac:dyDescent="0.3">
      <c r="A21" t="s">
        <v>47</v>
      </c>
      <c r="B21" t="s">
        <v>48</v>
      </c>
      <c r="C21" t="s">
        <v>49</v>
      </c>
      <c r="D21" t="s">
        <v>109</v>
      </c>
      <c r="E21">
        <v>61</v>
      </c>
      <c r="F21">
        <v>76.25</v>
      </c>
      <c r="G21" t="str">
        <f t="shared" si="0"/>
        <v>Very good</v>
      </c>
    </row>
    <row r="22" spans="1:7" x14ac:dyDescent="0.3">
      <c r="A22" t="s">
        <v>50</v>
      </c>
      <c r="B22" t="s">
        <v>51</v>
      </c>
      <c r="C22" t="s">
        <v>49</v>
      </c>
      <c r="D22" t="s">
        <v>110</v>
      </c>
      <c r="E22">
        <v>126</v>
      </c>
      <c r="F22">
        <v>162.54</v>
      </c>
      <c r="G22" t="str">
        <f t="shared" si="0"/>
        <v>Good</v>
      </c>
    </row>
    <row r="23" spans="1:7" x14ac:dyDescent="0.3">
      <c r="A23" t="s">
        <v>52</v>
      </c>
      <c r="B23" t="s">
        <v>53</v>
      </c>
      <c r="C23" t="s">
        <v>49</v>
      </c>
      <c r="D23" t="s">
        <v>110</v>
      </c>
      <c r="E23">
        <v>121</v>
      </c>
      <c r="F23">
        <v>141.57</v>
      </c>
      <c r="G23" t="str">
        <f t="shared" si="0"/>
        <v>Very good</v>
      </c>
    </row>
    <row r="24" spans="1:7" x14ac:dyDescent="0.3">
      <c r="A24" t="s">
        <v>54</v>
      </c>
      <c r="B24" t="s">
        <v>55</v>
      </c>
      <c r="C24" t="s">
        <v>49</v>
      </c>
      <c r="D24" t="s">
        <v>110</v>
      </c>
      <c r="E24">
        <v>141</v>
      </c>
      <c r="F24">
        <v>149.46</v>
      </c>
      <c r="G24" t="str">
        <f t="shared" si="0"/>
        <v>Very good</v>
      </c>
    </row>
    <row r="25" spans="1:7" x14ac:dyDescent="0.3">
      <c r="A25" t="s">
        <v>56</v>
      </c>
      <c r="B25" t="s">
        <v>57</v>
      </c>
      <c r="C25" t="s">
        <v>49</v>
      </c>
      <c r="D25" t="s">
        <v>110</v>
      </c>
      <c r="E25">
        <v>144</v>
      </c>
      <c r="F25">
        <v>156.96</v>
      </c>
      <c r="G25" t="str">
        <f t="shared" si="0"/>
        <v>Very good</v>
      </c>
    </row>
    <row r="26" spans="1:7" x14ac:dyDescent="0.3">
      <c r="A26" t="s">
        <v>58</v>
      </c>
      <c r="B26" t="s">
        <v>59</v>
      </c>
      <c r="C26" t="s">
        <v>49</v>
      </c>
      <c r="D26" t="s">
        <v>111</v>
      </c>
      <c r="E26">
        <v>7</v>
      </c>
      <c r="F26">
        <v>8.33</v>
      </c>
      <c r="G26" t="str">
        <f t="shared" si="0"/>
        <v>Very good</v>
      </c>
    </row>
    <row r="27" spans="1:7" x14ac:dyDescent="0.3">
      <c r="A27" t="s">
        <v>60</v>
      </c>
      <c r="B27" t="s">
        <v>61</v>
      </c>
      <c r="C27" t="s">
        <v>62</v>
      </c>
      <c r="D27" t="s">
        <v>111</v>
      </c>
      <c r="E27">
        <v>18</v>
      </c>
      <c r="F27">
        <v>24.66</v>
      </c>
      <c r="G27" t="str">
        <f t="shared" si="0"/>
        <v>Bad</v>
      </c>
    </row>
    <row r="28" spans="1:7" x14ac:dyDescent="0.3">
      <c r="A28" t="s">
        <v>63</v>
      </c>
      <c r="B28" t="s">
        <v>64</v>
      </c>
      <c r="C28" t="s">
        <v>62</v>
      </c>
      <c r="D28" t="s">
        <v>109</v>
      </c>
      <c r="E28">
        <v>48</v>
      </c>
      <c r="F28">
        <v>57.120000000000005</v>
      </c>
      <c r="G28" t="str">
        <f t="shared" si="0"/>
        <v>Bad</v>
      </c>
    </row>
    <row r="29" spans="1:7" x14ac:dyDescent="0.3">
      <c r="A29" t="s">
        <v>65</v>
      </c>
      <c r="B29" t="s">
        <v>66</v>
      </c>
      <c r="C29" t="s">
        <v>62</v>
      </c>
      <c r="D29" t="s">
        <v>111</v>
      </c>
      <c r="E29">
        <v>37</v>
      </c>
      <c r="F29">
        <v>41.81</v>
      </c>
      <c r="G29" t="str">
        <f t="shared" si="0"/>
        <v>Bad</v>
      </c>
    </row>
    <row r="30" spans="1:7" x14ac:dyDescent="0.3">
      <c r="A30" t="s">
        <v>67</v>
      </c>
      <c r="B30" t="s">
        <v>68</v>
      </c>
      <c r="C30" t="s">
        <v>62</v>
      </c>
      <c r="D30" t="s">
        <v>109</v>
      </c>
      <c r="E30">
        <v>47</v>
      </c>
      <c r="F30">
        <v>53.11</v>
      </c>
      <c r="G30" t="str">
        <f t="shared" si="0"/>
        <v>Bad</v>
      </c>
    </row>
    <row r="31" spans="1:7" x14ac:dyDescent="0.3">
      <c r="A31" t="s">
        <v>69</v>
      </c>
      <c r="B31" t="s">
        <v>70</v>
      </c>
      <c r="C31" t="s">
        <v>62</v>
      </c>
      <c r="D31" t="s">
        <v>110</v>
      </c>
      <c r="E31">
        <v>148</v>
      </c>
      <c r="F31">
        <v>201.28</v>
      </c>
      <c r="G31" t="str">
        <f t="shared" si="0"/>
        <v>Bad</v>
      </c>
    </row>
    <row r="32" spans="1:7" x14ac:dyDescent="0.3">
      <c r="A32" t="s">
        <v>71</v>
      </c>
      <c r="B32" t="s">
        <v>72</v>
      </c>
      <c r="C32" t="s">
        <v>62</v>
      </c>
      <c r="D32" t="s">
        <v>9</v>
      </c>
      <c r="E32">
        <v>93</v>
      </c>
      <c r="F32">
        <v>104.16</v>
      </c>
      <c r="G32" t="str">
        <f t="shared" si="0"/>
        <v>Very good</v>
      </c>
    </row>
    <row r="33" spans="1:7" x14ac:dyDescent="0.3">
      <c r="A33" t="s">
        <v>73</v>
      </c>
      <c r="B33" t="s">
        <v>74</v>
      </c>
      <c r="C33" t="s">
        <v>62</v>
      </c>
      <c r="D33" t="s">
        <v>9</v>
      </c>
      <c r="E33">
        <v>89</v>
      </c>
      <c r="F33">
        <v>117.48</v>
      </c>
      <c r="G33" t="str">
        <f t="shared" si="0"/>
        <v>Good</v>
      </c>
    </row>
    <row r="34" spans="1:7" x14ac:dyDescent="0.3">
      <c r="A34" t="s">
        <v>75</v>
      </c>
      <c r="B34" t="s">
        <v>76</v>
      </c>
      <c r="C34" t="s">
        <v>62</v>
      </c>
      <c r="D34" t="s">
        <v>9</v>
      </c>
      <c r="E34">
        <v>95</v>
      </c>
      <c r="F34">
        <v>119.7</v>
      </c>
      <c r="G34" t="str">
        <f t="shared" si="0"/>
        <v>Good</v>
      </c>
    </row>
    <row r="35" spans="1:7" x14ac:dyDescent="0.3">
      <c r="A35" t="s">
        <v>77</v>
      </c>
      <c r="B35" t="s">
        <v>78</v>
      </c>
      <c r="C35" t="s">
        <v>62</v>
      </c>
      <c r="D35" t="s">
        <v>109</v>
      </c>
      <c r="E35">
        <v>55</v>
      </c>
      <c r="F35">
        <v>58.3</v>
      </c>
      <c r="G35" t="str">
        <f t="shared" si="0"/>
        <v>Good</v>
      </c>
    </row>
    <row r="36" spans="1:7" x14ac:dyDescent="0.3">
      <c r="A36" t="s">
        <v>79</v>
      </c>
      <c r="B36" t="s">
        <v>80</v>
      </c>
      <c r="C36" t="s">
        <v>62</v>
      </c>
      <c r="D36" t="s">
        <v>111</v>
      </c>
      <c r="E36">
        <v>5</v>
      </c>
      <c r="F36">
        <v>6.7</v>
      </c>
      <c r="G36" t="str">
        <f t="shared" si="0"/>
        <v>Good</v>
      </c>
    </row>
    <row r="37" spans="1:7" x14ac:dyDescent="0.3">
      <c r="A37" t="s">
        <v>81</v>
      </c>
      <c r="B37" t="s">
        <v>82</v>
      </c>
      <c r="C37" t="s">
        <v>62</v>
      </c>
      <c r="D37" t="s">
        <v>9</v>
      </c>
      <c r="E37">
        <v>90</v>
      </c>
      <c r="F37">
        <v>96.3</v>
      </c>
      <c r="G37" t="str">
        <f t="shared" si="0"/>
        <v>Bad</v>
      </c>
    </row>
    <row r="38" spans="1:7" x14ac:dyDescent="0.3">
      <c r="A38" t="s">
        <v>83</v>
      </c>
      <c r="B38" t="s">
        <v>84</v>
      </c>
      <c r="C38" t="s">
        <v>85</v>
      </c>
      <c r="D38" t="s">
        <v>9</v>
      </c>
      <c r="E38">
        <v>67</v>
      </c>
      <c r="F38">
        <v>85.76</v>
      </c>
      <c r="G38" t="str">
        <f t="shared" si="0"/>
        <v>Good</v>
      </c>
    </row>
    <row r="39" spans="1:7" x14ac:dyDescent="0.3">
      <c r="A39" t="s">
        <v>86</v>
      </c>
      <c r="B39" t="s">
        <v>87</v>
      </c>
      <c r="C39" t="s">
        <v>85</v>
      </c>
      <c r="D39" t="s">
        <v>9</v>
      </c>
      <c r="E39">
        <v>72</v>
      </c>
      <c r="F39">
        <v>79.92</v>
      </c>
      <c r="G39" t="str">
        <f t="shared" si="0"/>
        <v>Good</v>
      </c>
    </row>
    <row r="40" spans="1:7" x14ac:dyDescent="0.3">
      <c r="A40" t="s">
        <v>88</v>
      </c>
      <c r="B40" t="s">
        <v>89</v>
      </c>
      <c r="C40" t="s">
        <v>85</v>
      </c>
      <c r="D40" t="s">
        <v>111</v>
      </c>
      <c r="E40">
        <v>37</v>
      </c>
      <c r="F40">
        <v>42.55</v>
      </c>
      <c r="G40" t="str">
        <f t="shared" si="0"/>
        <v>Good</v>
      </c>
    </row>
    <row r="41" spans="1:7" x14ac:dyDescent="0.3">
      <c r="A41" t="s">
        <v>90</v>
      </c>
      <c r="B41" t="s">
        <v>91</v>
      </c>
      <c r="C41" t="s">
        <v>85</v>
      </c>
      <c r="D41" t="s">
        <v>9</v>
      </c>
      <c r="E41">
        <v>90</v>
      </c>
      <c r="F41">
        <v>115.2</v>
      </c>
      <c r="G41" t="str">
        <f t="shared" si="0"/>
        <v>Bad</v>
      </c>
    </row>
    <row r="42" spans="1:7" x14ac:dyDescent="0.3">
      <c r="A42" t="s">
        <v>92</v>
      </c>
      <c r="B42" t="s">
        <v>93</v>
      </c>
      <c r="C42" t="s">
        <v>85</v>
      </c>
      <c r="D42" t="s">
        <v>110</v>
      </c>
      <c r="E42">
        <v>138</v>
      </c>
      <c r="F42">
        <v>173.88</v>
      </c>
      <c r="G42" t="str">
        <f t="shared" si="0"/>
        <v>Good</v>
      </c>
    </row>
    <row r="43" spans="1:7" x14ac:dyDescent="0.3">
      <c r="A43" t="s">
        <v>94</v>
      </c>
      <c r="B43" t="s">
        <v>95</v>
      </c>
      <c r="C43" t="s">
        <v>85</v>
      </c>
      <c r="D43" t="s">
        <v>110</v>
      </c>
      <c r="E43">
        <v>120</v>
      </c>
      <c r="F43">
        <v>162</v>
      </c>
      <c r="G43" t="str">
        <f t="shared" si="0"/>
        <v>Very good</v>
      </c>
    </row>
    <row r="44" spans="1:7" x14ac:dyDescent="0.3">
      <c r="A44" t="s">
        <v>96</v>
      </c>
      <c r="B44" t="s">
        <v>97</v>
      </c>
      <c r="C44" t="s">
        <v>85</v>
      </c>
      <c r="D44" t="s">
        <v>9</v>
      </c>
      <c r="E44">
        <v>67</v>
      </c>
      <c r="F44">
        <v>83.08</v>
      </c>
      <c r="G44" t="str">
        <f t="shared" si="0"/>
        <v>Very good</v>
      </c>
    </row>
    <row r="45" spans="1:7" x14ac:dyDescent="0.3">
      <c r="A45" t="s">
        <v>98</v>
      </c>
      <c r="B45" t="s">
        <v>99</v>
      </c>
      <c r="C45" t="s">
        <v>85</v>
      </c>
      <c r="D45" t="s">
        <v>9</v>
      </c>
      <c r="E45">
        <v>76</v>
      </c>
      <c r="F45">
        <v>82.08</v>
      </c>
      <c r="G45" t="str">
        <f t="shared" si="0"/>
        <v>Good</v>
      </c>
    </row>
    <row r="46" spans="1:7" x14ac:dyDescent="0.3">
      <c r="A46" t="s">
        <v>112</v>
      </c>
      <c r="B46" t="s">
        <v>113</v>
      </c>
      <c r="C46" t="s">
        <v>85</v>
      </c>
      <c r="D46" t="s">
        <v>9</v>
      </c>
      <c r="E46">
        <v>50</v>
      </c>
      <c r="F46">
        <v>62</v>
      </c>
      <c r="G46" t="str">
        <f t="shared" si="0"/>
        <v>Good</v>
      </c>
    </row>
  </sheetData>
  <dataValidations count="2">
    <dataValidation type="list" allowBlank="1" showInputMessage="1" showErrorMessage="1" sqref="C2:C46" xr:uid="{DD3653ED-5F3C-43AF-A846-04E57B65CB7D}">
      <formula1>"Category01,Category02,Category03,Category04,Category05"</formula1>
    </dataValidation>
    <dataValidation type="list" allowBlank="1" showInputMessage="1" showErrorMessage="1" sqref="D2:D46" xr:uid="{BAF831DE-FD7E-4C5A-AB30-A7CBB0FB6518}">
      <formula1>"Kg,Lt,Ft,Dozon,No."</formula1>
    </dataValidation>
  </dataValidations>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Analysis</vt:lpstr>
      <vt:lpstr>1Dashboard</vt:lpstr>
      <vt:lpstr>report</vt:lpstr>
      <vt:lpstr>Sheet1</vt:lpstr>
      <vt:lpstr>Sheet2</vt:lpstr>
      <vt:lpstr>Sheet4</vt:lpstr>
      <vt:lpstr>Sheet6</vt:lpstr>
      <vt:lpstr>kpi</vt:lpstr>
      <vt:lpstr>Input Data</vt:lpstr>
      <vt:lpstr>Master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Bhavana Joshi</dc:creator>
  <cp:lastModifiedBy>Shruti g</cp:lastModifiedBy>
  <cp:lastPrinted>2025-11-03T18:17:29Z</cp:lastPrinted>
  <dcterms:created xsi:type="dcterms:W3CDTF">2021-11-03T11:40:02Z</dcterms:created>
  <dcterms:modified xsi:type="dcterms:W3CDTF">2025-11-26T16:43:45Z</dcterms:modified>
</cp:coreProperties>
</file>